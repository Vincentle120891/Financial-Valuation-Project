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trlProps/ctrlProp2.xml" ContentType="application/vnd.ms-excel.control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  <Override PartName="/xl/charts/style1.xml" ContentType="application/vnd.ms-office.chartstyle+xml"/>
  <Override PartName="/xl/drawings/drawing6.xml" ContentType="application/vnd.openxmlformats-officedocument.drawing+xml"/>
  <Override PartName="/xl/theme/theme1.xml" ContentType="application/vnd.openxmlformats-officedocument.theme+xml"/>
  <Override PartName="/xl/charts/colors1.xml" ContentType="application/vnd.ms-office.chartcolorstyle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3.xml" ContentType="application/vnd.ms-excel.controlproperties+xml"/>
  <Override PartName="/xl/ctrlProps/ctrlProp1.xml" ContentType="application/vnd.ms-excel.controlproperties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Outputs-R" sheetId="1" state="hidden" r:id="rId3"/>
    <sheet name="Inputs" sheetId="2" state="visible" r:id="rId4"/>
    <sheet name="Inputs-R" sheetId="3" state="hidden" r:id="rId5"/>
    <sheet name="Model" sheetId="4" state="visible" r:id="rId6"/>
    <sheet name="Outputs" sheetId="5" state="visible" r:id="rId7"/>
    <sheet name="Relative Valuation" sheetId="6" state="visible" r:id="rId8"/>
    <sheet name="Football Field Chart" sheetId="7" state="visible" r:id="rId9"/>
    <sheet name="Model-R" sheetId="8" state="hidden" r:id="rId10"/>
  </sheets>
  <externalReferences>
    <externalReference r:id="rId1"/>
  </externalReferences>
  <definedNames>
    <definedName name="_xlnm.Print_Area" localSheetId="0">'Outputs-R'!$B$3:$Q$44,'Outputs-R'!$B$47:$Q$88</definedName>
    <definedName name="_xlnm.Print_Area" localSheetId="1">Inputs!$B$3:$M$44,Inputs!$B$47:$M$93,Inputs!$B$96:$M$125</definedName>
    <definedName name="_xlnm.Print_Area" localSheetId="2">'Inputs-R'!$B$3:$M$41,'Inputs-R'!$B$44:$M$85,'Inputs-R'!$B$88:$M$113</definedName>
    <definedName name="_xlnm.Print_Area" localSheetId="3">Model!$B$3:$O$6,Model!$B$7:$O$7,Model!$B$9:$O$41,Model!$B$44:$O$77,Model!$B$158:$M$202,Model!$B$205:$M$231,Model!$B$331:$M$370,Model!$B$373:$M$412,Model!$B$338:$O$375,Model!$B$378:$O$422,Model!$B$425:$O$469</definedName>
    <definedName name="_xlnm.Print_Area" localSheetId="4">Outputs!$B$3:$Q$44,Outputs!$B$47:$Q$88</definedName>
    <definedName name="_xlnm.Print_Area" localSheetId="7">'Model-R'!$B$3:$O$44,'Model-R'!$B$47:$O$90,'Model-R'!$B$93:$O$124,'Model-R'!$B$127:$O$159,'Model-R'!$B$162:$M$205,'Model-R'!$B$208:$M$234,'Model-R'!$B$237:$M$276,'Model-R'!$B$279:$M$318,'Model-R'!$B$321:$O$358,'Model-R'!$B$361:$O$405,'Model-R'!$B$408:$O$452</definedName>
  </definedNames>
  <calcPr iterate="1"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<sst xmlns="http://schemas.openxmlformats.org/spreadsheetml/2006/main" count="476" uniqueCount="476">
  <si>
    <t xml:space="preserve"> </t>
  </si>
  <si>
    <t xml:space="preserve">Dashboard: Perpetuity Method</t>
  </si>
  <si>
    <t xml:space="preserve">Model Drivers Set To</t>
  </si>
  <si>
    <t xml:space="preserve">All figures in USD thousands unless stated</t>
  </si>
  <si>
    <r>
      <t xml:space="preserve">Main Outputs </t>
    </r>
    <r>
      <rPr>
        <b/>
        <vertAlign val="superscript"/>
        <sz val="10"/>
        <color theme="1"/>
        <rFont val="Open Sans"/>
      </rPr>
      <t>1</t>
    </r>
  </si>
  <si>
    <t xml:space="preserve">Selected Inputs</t>
  </si>
  <si>
    <t>Learner</t>
  </si>
  <si>
    <t>Correct</t>
  </si>
  <si>
    <t>Compare</t>
  </si>
  <si>
    <t>Enterprise</t>
  </si>
  <si>
    <t>Equity</t>
  </si>
  <si>
    <t>Value</t>
  </si>
  <si>
    <t xml:space="preserve">Per Share</t>
  </si>
  <si>
    <t xml:space="preserve">Terminal Growth Rate</t>
  </si>
  <si>
    <t>WACC</t>
  </si>
  <si>
    <t xml:space="preserve">Best Case</t>
  </si>
  <si>
    <t xml:space="preserve">Net Debt</t>
  </si>
  <si>
    <t xml:space="preserve">Base Case</t>
  </si>
  <si>
    <t xml:space="preserve">Shares Outstanding</t>
  </si>
  <si>
    <t xml:space="preserve">(FD 000)</t>
  </si>
  <si>
    <t xml:space="preserve">Worst Case</t>
  </si>
  <si>
    <t xml:space="preserve">Current Stock Price</t>
  </si>
  <si>
    <t>(US$/sh)</t>
  </si>
  <si>
    <r>
      <t xml:space="preserve">Enterprise Value </t>
    </r>
    <r>
      <rPr>
        <b/>
        <vertAlign val="superscript"/>
        <sz val="10"/>
        <color theme="1"/>
        <rFont val="Open Sans"/>
      </rPr>
      <t>1</t>
    </r>
  </si>
  <si>
    <t xml:space="preserve">Equity Value per Share</t>
  </si>
  <si>
    <t xml:space="preserve">Equity Value</t>
  </si>
  <si>
    <t xml:space="preserve">Premium (Discount) to Stock Price</t>
  </si>
  <si>
    <t xml:space="preserve">These tables require the workbook calculation to be set to automatic to update. </t>
  </si>
  <si>
    <t xml:space="preserve">Dashboard: Multiple Method</t>
  </si>
  <si>
    <t xml:space="preserve">Terminal Multiple</t>
  </si>
  <si>
    <t>Drivers</t>
  </si>
  <si>
    <t>Term</t>
  </si>
  <si>
    <t xml:space="preserve">Driver Switch</t>
  </si>
  <si>
    <t xml:space="preserve">Revenue Growth</t>
  </si>
  <si>
    <t xml:space="preserve">Cost projection Increases</t>
  </si>
  <si>
    <t xml:space="preserve">Capital Expenditure</t>
  </si>
  <si>
    <t xml:space="preserve">Inflation Rate</t>
  </si>
  <si>
    <r>
      <t xml:space="preserve">Working Capital </t>
    </r>
    <r>
      <rPr>
        <b/>
        <vertAlign val="superscript"/>
        <sz val="10"/>
        <rFont val="Open Sans"/>
      </rPr>
      <t>1</t>
    </r>
  </si>
  <si>
    <t xml:space="preserve">Accounts Receivable</t>
  </si>
  <si>
    <t>(Days)</t>
  </si>
  <si>
    <t>Inventory</t>
  </si>
  <si>
    <t xml:space="preserve">Accounts Payable</t>
  </si>
  <si>
    <t xml:space="preserve">Other Annual Inputs</t>
  </si>
  <si>
    <t>-</t>
  </si>
  <si>
    <t xml:space="preserve">Term Debt</t>
  </si>
  <si>
    <t xml:space="preserve">Increase / (Decrease)</t>
  </si>
  <si>
    <t xml:space="preserve">Common Equity</t>
  </si>
  <si>
    <t xml:space="preserve">We have assumed working capital amounts per day in terminal year are equal to the previous year. </t>
  </si>
  <si>
    <t xml:space="preserve">Weighted Average Cost of Capital</t>
  </si>
  <si>
    <t>Average</t>
  </si>
  <si>
    <t>Debt/</t>
  </si>
  <si>
    <t>Levered</t>
  </si>
  <si>
    <t>Unlevered</t>
  </si>
  <si>
    <t>Name</t>
  </si>
  <si>
    <t>Industry</t>
  </si>
  <si>
    <t>Region</t>
  </si>
  <si>
    <t>Market</t>
  </si>
  <si>
    <t>Debt</t>
  </si>
  <si>
    <r>
      <t xml:space="preserve">Tax Rate </t>
    </r>
    <r>
      <rPr>
        <b/>
        <vertAlign val="superscript"/>
        <sz val="10"/>
        <color theme="1"/>
        <rFont val="Open Sans"/>
      </rPr>
      <t>1</t>
    </r>
  </si>
  <si>
    <t>Capital</t>
  </si>
  <si>
    <r>
      <t xml:space="preserve">Beta </t>
    </r>
    <r>
      <rPr>
        <b/>
        <vertAlign val="superscript"/>
        <sz val="10"/>
        <color theme="1"/>
        <rFont val="Open Sans"/>
      </rPr>
      <t>2</t>
    </r>
  </si>
  <si>
    <r>
      <t xml:space="preserve">Beta </t>
    </r>
    <r>
      <rPr>
        <b/>
        <vertAlign val="superscript"/>
        <sz val="10"/>
        <color theme="1"/>
        <rFont val="Open Sans"/>
      </rPr>
      <t>3</t>
    </r>
  </si>
  <si>
    <t xml:space="preserve">Peer 1</t>
  </si>
  <si>
    <t xml:space="preserve">Industry 1</t>
  </si>
  <si>
    <t>Canada</t>
  </si>
  <si>
    <t xml:space="preserve">Peer 2</t>
  </si>
  <si>
    <t xml:space="preserve">Industry 2</t>
  </si>
  <si>
    <t>USA</t>
  </si>
  <si>
    <t xml:space="preserve">Peer 3</t>
  </si>
  <si>
    <t xml:space="preserve">Industry 3</t>
  </si>
  <si>
    <t xml:space="preserve">Peer 4</t>
  </si>
  <si>
    <t xml:space="preserve">Industry 4</t>
  </si>
  <si>
    <t xml:space="preserve">Peer 5</t>
  </si>
  <si>
    <t xml:space="preserve">Industry 5</t>
  </si>
  <si>
    <t xml:space="preserve">Peer 6</t>
  </si>
  <si>
    <t xml:space="preserve">Industry 6</t>
  </si>
  <si>
    <t xml:space="preserve">Peer 7</t>
  </si>
  <si>
    <t xml:space="preserve">Industry 7</t>
  </si>
  <si>
    <t xml:space="preserve">Peer 8</t>
  </si>
  <si>
    <t xml:space="preserve">Industry 8</t>
  </si>
  <si>
    <t xml:space="preserve">Peer 9</t>
  </si>
  <si>
    <t xml:space="preserve">Industry 9</t>
  </si>
  <si>
    <t>Ghana</t>
  </si>
  <si>
    <t xml:space="preserve">Peer 10</t>
  </si>
  <si>
    <t xml:space="preserve">Industry 10</t>
  </si>
  <si>
    <t>China</t>
  </si>
  <si>
    <t>Median</t>
  </si>
  <si>
    <t xml:space="preserve">Risk Premium for Equity</t>
  </si>
  <si>
    <t xml:space="preserve">Cost of Equity</t>
  </si>
  <si>
    <t xml:space="preserve">Market Risk Premium</t>
  </si>
  <si>
    <t xml:space="preserve">Risk Free Rate</t>
  </si>
  <si>
    <t xml:space="preserve">Average Unlevered Beta</t>
  </si>
  <si>
    <t xml:space="preserve">Equity Risk Premium</t>
  </si>
  <si>
    <r>
      <t xml:space="preserve">Levered Beta </t>
    </r>
    <r>
      <rPr>
        <vertAlign val="superscript"/>
        <sz val="10"/>
        <rFont val="Open Sans"/>
      </rPr>
      <t>4</t>
    </r>
  </si>
  <si>
    <t xml:space="preserve">Country Risk Premium</t>
  </si>
  <si>
    <t xml:space="preserve">Capital Structure</t>
  </si>
  <si>
    <t xml:space="preserve">Cost of Debt</t>
  </si>
  <si>
    <t>Current</t>
  </si>
  <si>
    <t>Target</t>
  </si>
  <si>
    <t xml:space="preserve">Pre-Tax Cost of Debt</t>
  </si>
  <si>
    <t xml:space="preserve">Total Debt</t>
  </si>
  <si>
    <t xml:space="preserve">Tax Rate</t>
  </si>
  <si>
    <t xml:space="preserve">Market Capitalization</t>
  </si>
  <si>
    <t xml:space="preserve">After-Tax Cost of Debt</t>
  </si>
  <si>
    <t xml:space="preserve">Total Capitalization</t>
  </si>
  <si>
    <t xml:space="preserve">Debt / Equity</t>
  </si>
  <si>
    <t>Weight</t>
  </si>
  <si>
    <t>Cost</t>
  </si>
  <si>
    <t xml:space="preserve">Tax Rate is a 5-Year Average. </t>
  </si>
  <si>
    <t xml:space="preserve">Debt Capital</t>
  </si>
  <si>
    <t xml:space="preserve">Levered beta is based on 5-year monthly data. </t>
  </si>
  <si>
    <t xml:space="preserve">Equity Capital</t>
  </si>
  <si>
    <t xml:space="preserve">Unlevered Beta = Levered Beta / (1 + (1 - Tax Rate) × Debt-to-Equity) </t>
  </si>
  <si>
    <t xml:space="preserve">Levered Beta = Unlevered Beta x (1 + (1 - Tax rate) x (Debt-to-Equity)) </t>
  </si>
  <si>
    <t xml:space="preserve">Other Inputs</t>
  </si>
  <si>
    <t>Dates</t>
  </si>
  <si>
    <t xml:space="preserve">Valuation Date</t>
  </si>
  <si>
    <t>(YY-MM-DD)</t>
  </si>
  <si>
    <t xml:space="preserve">First Expected Cash Flow</t>
  </si>
  <si>
    <t xml:space="preserve">Property Plant &amp; Equipment</t>
  </si>
  <si>
    <t xml:space="preserve">First Fiscal Year End for Forecast</t>
  </si>
  <si>
    <t xml:space="preserve">Tax Basis for PP&amp;E</t>
  </si>
  <si>
    <t xml:space="preserve">First Year of Forecast</t>
  </si>
  <si>
    <t>(YYYY)</t>
  </si>
  <si>
    <t xml:space="preserve">Tax Losses</t>
  </si>
  <si>
    <t xml:space="preserve">Incorrect Date Set for Valuation?</t>
  </si>
  <si>
    <t xml:space="preserve">52 Week High</t>
  </si>
  <si>
    <t xml:space="preserve">Incorrect Date Set for First Cash Flow?</t>
  </si>
  <si>
    <t xml:space="preserve">52 Week Low</t>
  </si>
  <si>
    <t xml:space="preserve">Days in Period</t>
  </si>
  <si>
    <t>Valuation</t>
  </si>
  <si>
    <t xml:space="preserve">First Year Tax Depreciation</t>
  </si>
  <si>
    <t xml:space="preserve">Blended Tax Depreciation Rate</t>
  </si>
  <si>
    <t xml:space="preserve">First Year Accounting Depreciation</t>
  </si>
  <si>
    <t xml:space="preserve">Useful Life: Existing Assets</t>
  </si>
  <si>
    <t>(Years)</t>
  </si>
  <si>
    <r>
      <t xml:space="preserve">Terminal EBITDA Multiple </t>
    </r>
    <r>
      <rPr>
        <vertAlign val="superscript"/>
        <sz val="10"/>
        <color theme="1"/>
        <rFont val="Open Sans"/>
      </rPr>
      <t>1</t>
    </r>
  </si>
  <si>
    <t xml:space="preserve">Useful Life: New Assets</t>
  </si>
  <si>
    <t xml:space="preserve">Weighted Average Cost of Capital (WACC)</t>
  </si>
  <si>
    <t xml:space="preserve">Dividend Payout Ratio</t>
  </si>
  <si>
    <t xml:space="preserve">Terminal Growth Greater Than or Equal To WACC?</t>
  </si>
  <si>
    <t xml:space="preserve">Interest Rates</t>
  </si>
  <si>
    <t xml:space="preserve">Cash Balances</t>
  </si>
  <si>
    <t xml:space="preserve">Revolving Credit Line</t>
  </si>
  <si>
    <t xml:space="preserve">Long Term Debt</t>
  </si>
  <si>
    <t xml:space="preserve">The Terminal EBITDA multiple should reflect a 'steady-state' industry multiple. </t>
  </si>
  <si>
    <t xml:space="preserve">Sales Volume Growth</t>
  </si>
  <si>
    <t xml:space="preserve">Pricing Increases</t>
  </si>
  <si>
    <t xml:space="preserve">Surge Batteries Inc.</t>
  </si>
  <si>
    <t>Europe</t>
  </si>
  <si>
    <t xml:space="preserve">Future Energy Co.</t>
  </si>
  <si>
    <t xml:space="preserve">Clean Green Ltd.</t>
  </si>
  <si>
    <t xml:space="preserve">Full Power Solutions Ltd.</t>
  </si>
  <si>
    <t xml:space="preserve">Earthcor Power Inc.</t>
  </si>
  <si>
    <t xml:space="preserve">Plant Capacity</t>
  </si>
  <si>
    <t>(Units/Day)</t>
  </si>
  <si>
    <t xml:space="preserve">Projected Interest Expense</t>
  </si>
  <si>
    <t xml:space="preserve">Projected Cost Increase</t>
  </si>
  <si>
    <t xml:space="preserve">Income Statement</t>
  </si>
  <si>
    <t>Revenue</t>
  </si>
  <si>
    <t>ok</t>
  </si>
  <si>
    <t>COGS</t>
  </si>
  <si>
    <t xml:space="preserve">Gross Profit</t>
  </si>
  <si>
    <t>SG&amp;A</t>
  </si>
  <si>
    <t>Other</t>
  </si>
  <si>
    <t>EBITDA</t>
  </si>
  <si>
    <t>Amortization</t>
  </si>
  <si>
    <t>Depreciation</t>
  </si>
  <si>
    <t>EBIT</t>
  </si>
  <si>
    <t xml:space="preserve">Interest Expense</t>
  </si>
  <si>
    <t xml:space="preserve">Interest Income</t>
  </si>
  <si>
    <t>EBT</t>
  </si>
  <si>
    <t xml:space="preserve">Current Tax</t>
  </si>
  <si>
    <t xml:space="preserve">Deferred Tax</t>
  </si>
  <si>
    <t xml:space="preserve">Total Tax</t>
  </si>
  <si>
    <t xml:space="preserve">Net Income</t>
  </si>
  <si>
    <t xml:space="preserve">Cash Flow Statement</t>
  </si>
  <si>
    <t xml:space="preserve">CASH FROM OPERATING</t>
  </si>
  <si>
    <t xml:space="preserve">Deferred Taxes</t>
  </si>
  <si>
    <t xml:space="preserve">Cash From Accounts Receivable</t>
  </si>
  <si>
    <t xml:space="preserve">Cash From Inventory</t>
  </si>
  <si>
    <t xml:space="preserve">Cash From Accounts Payable</t>
  </si>
  <si>
    <t>Subtotal</t>
  </si>
  <si>
    <t/>
  </si>
  <si>
    <t xml:space="preserve">CASH FROM INVESTING</t>
  </si>
  <si>
    <t xml:space="preserve">CASH FROM FINANCING</t>
  </si>
  <si>
    <t xml:space="preserve">Change in Long-Term Debt</t>
  </si>
  <si>
    <t xml:space="preserve">Change in Revolving Credit Line</t>
  </si>
  <si>
    <t xml:space="preserve">Change in Common Equity</t>
  </si>
  <si>
    <t>Dividends</t>
  </si>
  <si>
    <t xml:space="preserve">CASH BALANCE</t>
  </si>
  <si>
    <t xml:space="preserve">Beginning of the Year</t>
  </si>
  <si>
    <t xml:space="preserve">End of the Year</t>
  </si>
  <si>
    <t xml:space="preserve">Balance Sheet</t>
  </si>
  <si>
    <t>ASSETS</t>
  </si>
  <si>
    <t>Cash</t>
  </si>
  <si>
    <t>Inventories</t>
  </si>
  <si>
    <t xml:space="preserve">Total Current Assets</t>
  </si>
  <si>
    <t xml:space="preserve">Total Assets</t>
  </si>
  <si>
    <t>LIABILITIES</t>
  </si>
  <si>
    <t xml:space="preserve">Total Current Liabilities</t>
  </si>
  <si>
    <t xml:space="preserve">Long-Term Debt</t>
  </si>
  <si>
    <t xml:space="preserve">Total Liabilities</t>
  </si>
  <si>
    <t>EQUITY</t>
  </si>
  <si>
    <t xml:space="preserve">Retained Earnings</t>
  </si>
  <si>
    <t xml:space="preserve">Total Shareholders' Equity</t>
  </si>
  <si>
    <t xml:space="preserve">Total Liabilities &amp; Equity</t>
  </si>
  <si>
    <t>Check</t>
  </si>
  <si>
    <t xml:space="preserve">Working Capital Schedule</t>
  </si>
  <si>
    <r>
      <t xml:space="preserve">AMOUNTS PER DAY </t>
    </r>
    <r>
      <rPr>
        <b/>
        <vertAlign val="superscript"/>
        <sz val="10"/>
        <rFont val="Open Sans"/>
      </rPr>
      <t>1</t>
    </r>
  </si>
  <si>
    <t xml:space="preserve">TOTAL AMOUNTS</t>
  </si>
  <si>
    <t xml:space="preserve">NET WORKING CAPITAL</t>
  </si>
  <si>
    <t xml:space="preserve">Current Assets</t>
  </si>
  <si>
    <t xml:space="preserve">Current Liabilities</t>
  </si>
  <si>
    <t xml:space="preserve">Net Working Capital</t>
  </si>
  <si>
    <t xml:space="preserve">Cash from Working Capital Items</t>
  </si>
  <si>
    <t xml:space="preserve">Depreciation Schedule</t>
  </si>
  <si>
    <t xml:space="preserve">Capital Expenditure </t>
  </si>
  <si>
    <r>
      <t xml:space="preserve">EXISTING ASSET DEPRECIATION </t>
    </r>
    <r>
      <rPr>
        <b/>
        <vertAlign val="superscript"/>
        <sz val="10"/>
        <rFont val="Open Sans"/>
      </rPr>
      <t>1</t>
    </r>
  </si>
  <si>
    <t>Years</t>
  </si>
  <si>
    <t xml:space="preserve">Percent of Full Year</t>
  </si>
  <si>
    <t>term</t>
  </si>
  <si>
    <r>
      <t xml:space="preserve">NEW ASSET DEPRECIATION </t>
    </r>
    <r>
      <rPr>
        <b/>
        <vertAlign val="superscript"/>
        <sz val="10"/>
        <rFont val="Open Sans"/>
      </rPr>
      <t>1</t>
    </r>
  </si>
  <si>
    <t>Year</t>
  </si>
  <si>
    <t>Life</t>
  </si>
  <si>
    <t xml:space="preserve">Amounts for Depreciation</t>
  </si>
  <si>
    <t>Capex</t>
  </si>
  <si>
    <t xml:space="preserve">Per Yr</t>
  </si>
  <si>
    <r>
      <t xml:space="preserve">TOTAL ASSET DEPRECIATION </t>
    </r>
    <r>
      <rPr>
        <b/>
        <vertAlign val="superscript"/>
        <sz val="9"/>
        <rFont val="Open Sans"/>
      </rPr>
      <t>2</t>
    </r>
  </si>
  <si>
    <t xml:space="preserve">Existing Assets</t>
  </si>
  <si>
    <t xml:space="preserve">New Assets</t>
  </si>
  <si>
    <t xml:space="preserve">Total Depreciation</t>
  </si>
  <si>
    <t xml:space="preserve">All PP&amp;E and capital expenditure is assumed depreciable (i.e. no land balance). </t>
  </si>
  <si>
    <t xml:space="preserve">This schedule calculates depreciation on a straight-line basis. </t>
  </si>
  <si>
    <t xml:space="preserve">Asset Schedule</t>
  </si>
  <si>
    <r>
      <t xml:space="preserve">PROPERTY PLANT &amp; EQUIPMENT </t>
    </r>
    <r>
      <rPr>
        <b/>
        <vertAlign val="superscript"/>
        <sz val="10"/>
        <rFont val="Open Sans"/>
      </rPr>
      <t>1</t>
    </r>
  </si>
  <si>
    <t>Beginning</t>
  </si>
  <si>
    <t xml:space="preserve">Accounting Depreciation</t>
  </si>
  <si>
    <t>Ending</t>
  </si>
  <si>
    <r>
      <t xml:space="preserve">TAX BASIS </t>
    </r>
    <r>
      <rPr>
        <b/>
        <vertAlign val="superscript"/>
        <sz val="10"/>
        <rFont val="Open Sans"/>
      </rPr>
      <t>1</t>
    </r>
  </si>
  <si>
    <t xml:space="preserve">Tax Depreciation</t>
  </si>
  <si>
    <t xml:space="preserve">Model assumes no dispositions that would impact the PP&amp;E or the Tax Basis. </t>
  </si>
  <si>
    <t xml:space="preserve">Debt Schedule: Part 1</t>
  </si>
  <si>
    <t>CASH</t>
  </si>
  <si>
    <t xml:space="preserve">Beginning Balance</t>
  </si>
  <si>
    <t xml:space="preserve">Ending Balance</t>
  </si>
  <si>
    <t xml:space="preserve">Interest Rate</t>
  </si>
  <si>
    <t>Circularity</t>
  </si>
  <si>
    <t xml:space="preserve">LONG TERM DEBT</t>
  </si>
  <si>
    <t xml:space="preserve">Debt Schedule: Part 2</t>
  </si>
  <si>
    <t xml:space="preserve">AVAILABLE CASH</t>
  </si>
  <si>
    <t xml:space="preserve">Beginning Cash Balance</t>
  </si>
  <si>
    <t xml:space="preserve">Cash from Operations</t>
  </si>
  <si>
    <t xml:space="preserve">Cash from Investing</t>
  </si>
  <si>
    <t xml:space="preserve">Cash Available for Revolving Credit Line</t>
  </si>
  <si>
    <t xml:space="preserve">REVOLVING CREDIT LINE</t>
  </si>
  <si>
    <t xml:space="preserve">Less: Interest Income</t>
  </si>
  <si>
    <t xml:space="preserve">Net Interest Expense</t>
  </si>
  <si>
    <t xml:space="preserve">Equity Schedule</t>
  </si>
  <si>
    <t xml:space="preserve">COMMON EQUITY</t>
  </si>
  <si>
    <t xml:space="preserve">Payout Ratio</t>
  </si>
  <si>
    <t>Dividend</t>
  </si>
  <si>
    <t xml:space="preserve">RETAINED EARNINGS</t>
  </si>
  <si>
    <t xml:space="preserve">Income Tax Schedule (Levered)</t>
  </si>
  <si>
    <t xml:space="preserve">Earnings Before Tax (EBT)</t>
  </si>
  <si>
    <t xml:space="preserve">Profitable Before Taxes?</t>
  </si>
  <si>
    <t xml:space="preserve">Unused Tax Losses Remaining?</t>
  </si>
  <si>
    <t xml:space="preserve">ADJUSTMENT FOR DEPRECIATION</t>
  </si>
  <si>
    <t xml:space="preserve">Add: Accounting Depreciation</t>
  </si>
  <si>
    <t xml:space="preserve">Less: Tax Depreciation</t>
  </si>
  <si>
    <t xml:space="preserve">EBT After Adjustment</t>
  </si>
  <si>
    <r>
      <t xml:space="preserve">ADJUSTMENT FOR TAX LOSSES </t>
    </r>
    <r>
      <rPr>
        <b/>
        <vertAlign val="superscript"/>
        <sz val="10"/>
        <rFont val="Open Sans"/>
      </rPr>
      <t>1</t>
    </r>
  </si>
  <si>
    <r>
      <t xml:space="preserve">Less: Use of Tax Losses </t>
    </r>
    <r>
      <rPr>
        <vertAlign val="superscript"/>
        <sz val="9"/>
        <rFont val="Open Sans"/>
      </rPr>
      <t>2</t>
    </r>
  </si>
  <si>
    <t xml:space="preserve">Taxable Income</t>
  </si>
  <si>
    <t xml:space="preserve">TAX LOSSES</t>
  </si>
  <si>
    <t xml:space="preserve">Add: New Losses</t>
  </si>
  <si>
    <t xml:space="preserve">Less: Use of Tax Losses</t>
  </si>
  <si>
    <t>TAXES</t>
  </si>
  <si>
    <t xml:space="preserve">Current Taxes</t>
  </si>
  <si>
    <t xml:space="preserve">Total Taxes</t>
  </si>
  <si>
    <t xml:space="preserve">This schedule assumes that tax losses can be carried forward indefinitely into the future. </t>
  </si>
  <si>
    <t xml:space="preserve">This schedule assumes losses do not carry back to previous periods to reduce taxable income. </t>
  </si>
  <si>
    <t xml:space="preserve">Income Tax Schedule (Unlevered)</t>
  </si>
  <si>
    <t xml:space="preserve">Earnings Before Interest &amp; Tax (EBIT)</t>
  </si>
  <si>
    <t xml:space="preserve">EBIT After Adjustment</t>
  </si>
  <si>
    <t xml:space="preserve">Unlevered Free Cash Flow Schedule</t>
  </si>
  <si>
    <t xml:space="preserve">TAX SHIELD FROM INTEREST</t>
  </si>
  <si>
    <t xml:space="preserve">Line Item</t>
  </si>
  <si>
    <t xml:space="preserve">Current Taxes (Unlevered)</t>
  </si>
  <si>
    <t xml:space="preserve">Current Taxes (Levered)</t>
  </si>
  <si>
    <t xml:space="preserve">Total Tax Shield</t>
  </si>
  <si>
    <t xml:space="preserve">EBITDA METHOD</t>
  </si>
  <si>
    <t xml:space="preserve">Change in Working Capital</t>
  </si>
  <si>
    <t xml:space="preserve">Unlevered Free Cash Flow</t>
  </si>
  <si>
    <t xml:space="preserve">NET INCOME METHOD</t>
  </si>
  <si>
    <r>
      <t xml:space="preserve">Depreciation </t>
    </r>
    <r>
      <rPr>
        <vertAlign val="superscript"/>
        <sz val="9"/>
        <rFont val="Open Sans"/>
      </rPr>
      <t>1</t>
    </r>
  </si>
  <si>
    <r>
      <t xml:space="preserve">Deferred Tax </t>
    </r>
    <r>
      <rPr>
        <vertAlign val="superscript"/>
        <sz val="9"/>
        <rFont val="Open Sans"/>
      </rPr>
      <t xml:space="preserve">2 </t>
    </r>
    <r>
      <rPr>
        <sz val="10"/>
        <rFont val="Open Sans"/>
      </rPr>
      <t xml:space="preserve"> (Levered)</t>
    </r>
  </si>
  <si>
    <t xml:space="preserve">Tax Shield From Interest</t>
  </si>
  <si>
    <t xml:space="preserve">Two UFCF Methods Different?</t>
  </si>
  <si>
    <t xml:space="preserve">Capital expenditure has been set equal to depreciation in the terminal year. </t>
  </si>
  <si>
    <t xml:space="preserve">This schedule assumes no deferred taxes in the terminal year. </t>
  </si>
  <si>
    <t xml:space="preserve">Discounted Cash Flow Schedule: Perpetuity Method</t>
  </si>
  <si>
    <t xml:space="preserve">Discrete Forecast</t>
  </si>
  <si>
    <t xml:space="preserve">Terminal Growth</t>
  </si>
  <si>
    <t xml:space="preserve">Fiscal Year End</t>
  </si>
  <si>
    <t xml:space="preserve">Cash Flow Timing</t>
  </si>
  <si>
    <t xml:space="preserve">UNADJUSTED CASH FLOW</t>
  </si>
  <si>
    <t xml:space="preserve">Terminal Value</t>
  </si>
  <si>
    <t xml:space="preserve">Total Cash Flow</t>
  </si>
  <si>
    <t xml:space="preserve">ADJUSTED CASH FLOW</t>
  </si>
  <si>
    <t xml:space="preserve">Partial Period Adjustment</t>
  </si>
  <si>
    <t xml:space="preserve">DISCOUNTED CASH FLOW</t>
  </si>
  <si>
    <t xml:space="preserve">Years for Discounting</t>
  </si>
  <si>
    <t xml:space="preserve">ENTERPRISE VALUE</t>
  </si>
  <si>
    <t xml:space="preserve">Manual Method</t>
  </si>
  <si>
    <t xml:space="preserve">PV of Discrete</t>
  </si>
  <si>
    <r>
      <t xml:space="preserve">XNPV Function </t>
    </r>
    <r>
      <rPr>
        <vertAlign val="superscript"/>
        <sz val="9"/>
        <rFont val="Open Sans"/>
      </rPr>
      <t>1</t>
    </r>
  </si>
  <si>
    <t xml:space="preserve">PV of Terminal</t>
  </si>
  <si>
    <t xml:space="preserve">Enterprise Value</t>
  </si>
  <si>
    <t xml:space="preserve">EQUITY VALUE</t>
  </si>
  <si>
    <t xml:space="preserve">EQUITY VALUE PER SHARE</t>
  </si>
  <si>
    <t xml:space="preserve">Less: Net Debt</t>
  </si>
  <si>
    <t>($/sh)</t>
  </si>
  <si>
    <t xml:space="preserve">The Enterprise Value from the XNPV Function is slightly different due to treatment of leap years. </t>
  </si>
  <si>
    <t xml:space="preserve">Discounted Cash Flow Schedule: Multiple Method</t>
  </si>
  <si>
    <t>Terminal</t>
  </si>
  <si>
    <r>
      <t xml:space="preserve">Terminal Value </t>
    </r>
    <r>
      <rPr>
        <vertAlign val="superscript"/>
        <sz val="10"/>
        <rFont val="Open Sans"/>
      </rPr>
      <t>1</t>
    </r>
  </si>
  <si>
    <t>Adjustment</t>
  </si>
  <si>
    <r>
      <t xml:space="preserve">XNPV Function </t>
    </r>
    <r>
      <rPr>
        <vertAlign val="superscript"/>
        <sz val="9"/>
        <rFont val="Open Sans"/>
      </rPr>
      <t>2</t>
    </r>
  </si>
  <si>
    <t xml:space="preserve">We have applied an LTM multiple to the EBITDA at the end of the terminal year to calculate the Terminal Value. </t>
  </si>
  <si>
    <t xml:space="preserve">The Enterprise Value from the XNPV Function is slightly different from the Manual Method due to treatment of leap years. </t>
  </si>
  <si>
    <t xml:space="preserve">Intrinsic Valuation - Financial Statement Extracts</t>
  </si>
  <si>
    <t xml:space="preserve">Excerpts Provided from Financial Statement</t>
  </si>
  <si>
    <t xml:space="preserve">Interest Expense, net</t>
  </si>
  <si>
    <t xml:space="preserve">After-tax Interest Expense (Int Exp * (1-Tax))</t>
  </si>
  <si>
    <t xml:space="preserve">Unlevered Taxes</t>
  </si>
  <si>
    <t xml:space="preserve">Capital Expenditures</t>
  </si>
  <si>
    <t xml:space="preserve">Change in working capital</t>
  </si>
  <si>
    <t xml:space="preserve">Long term debt</t>
  </si>
  <si>
    <t xml:space="preserve">Intrinsic Valuation - Determining Unlevered Free Cashflow (UFCF)</t>
  </si>
  <si>
    <t xml:space="preserve">UFCF Using EBIT</t>
  </si>
  <si>
    <t xml:space="preserve">Less: Unlevered Taxes</t>
  </si>
  <si>
    <t xml:space="preserve">Net Operating Profit After Taxes (NOPAT)</t>
  </si>
  <si>
    <t xml:space="preserve">Capex Investment</t>
  </si>
  <si>
    <t xml:space="preserve">Unlevered Free Cash Flow (UFCF) using EBIT</t>
  </si>
  <si>
    <t xml:space="preserve">UFCF Using Net Income</t>
  </si>
  <si>
    <t xml:space="preserve">Unlevered Free Cash Flow (UFCF) using Net Income</t>
  </si>
  <si>
    <t xml:space="preserve">UFCF Using EBITDA</t>
  </si>
  <si>
    <t xml:space="preserve">Unlevered Free Cash Flow (UFCF) using EBITDA</t>
  </si>
  <si>
    <t xml:space="preserve">Intrinsic Valuation - Determining Terminal Value using a Perpetual Growth Rate</t>
  </si>
  <si>
    <t xml:space="preserve">Unlevered Free Cash Flow (UFCF)</t>
  </si>
  <si>
    <r>
      <t xml:space="preserve">Perpetuity UFCF </t>
    </r>
    <r>
      <rPr>
        <vertAlign val="subscript"/>
        <sz val="10"/>
        <color theme="1"/>
        <rFont val="Open Sans"/>
      </rPr>
      <t>t+1</t>
    </r>
  </si>
  <si>
    <t xml:space="preserve">Terminal Value using a Perpetual Growth Rate</t>
  </si>
  <si>
    <t xml:space="preserve">Intrinsic Valuation - Determining Terminal Value using an EBITDA Multiple</t>
  </si>
  <si>
    <t xml:space="preserve">Terminal Value using EBITDA Multiple</t>
  </si>
  <si>
    <t xml:space="preserve">Intrinsic Valuation - Discounting Unlevered Free CashFlows (UFCF) and Terminal Values</t>
  </si>
  <si>
    <t xml:space="preserve">Terminal Value using Perpetual Growth Rate</t>
  </si>
  <si>
    <t xml:space="preserve">Total Cash Flows</t>
  </si>
  <si>
    <t xml:space="preserve">Discounting Period</t>
  </si>
  <si>
    <t xml:space="preserve">Present Value of Cash Flows</t>
  </si>
  <si>
    <r>
      <t xml:space="preserve">EQUITY VALUE </t>
    </r>
    <r>
      <rPr>
        <b/>
        <vertAlign val="superscript"/>
        <sz val="10"/>
        <rFont val="Open Sans"/>
      </rPr>
      <t>1</t>
    </r>
  </si>
  <si>
    <t xml:space="preserve">IMPLIED PERPETUITY GROWTH AND TERMINAL MULTIPLE</t>
  </si>
  <si>
    <r>
      <t xml:space="preserve">Implied Perpetuity Growth Rate </t>
    </r>
    <r>
      <rPr>
        <i/>
        <vertAlign val="superscript"/>
        <sz val="10"/>
        <color theme="1"/>
        <rFont val="Open Sans"/>
      </rPr>
      <t>1</t>
    </r>
  </si>
  <si>
    <r>
      <t xml:space="preserve">Implied Perpetuity Growth Rate </t>
    </r>
    <r>
      <rPr>
        <i/>
        <vertAlign val="superscript"/>
        <sz val="10"/>
        <color theme="1"/>
        <rFont val="Open Sans"/>
      </rPr>
      <t>2</t>
    </r>
  </si>
  <si>
    <r>
      <t xml:space="preserve">Implied Terminal Multiple </t>
    </r>
    <r>
      <rPr>
        <i/>
        <vertAlign val="superscript"/>
        <sz val="10"/>
        <color theme="1"/>
        <rFont val="Open Sans"/>
      </rPr>
      <t>1</t>
    </r>
  </si>
  <si>
    <t xml:space="preserve">Current Price</t>
  </si>
  <si>
    <r>
      <t xml:space="preserve">Implied Terminal Multiple </t>
    </r>
    <r>
      <rPr>
        <i/>
        <vertAlign val="superscript"/>
        <sz val="10"/>
        <color theme="1"/>
        <rFont val="Open Sans"/>
      </rPr>
      <t>2</t>
    </r>
  </si>
  <si>
    <t>Upside/(Downside)</t>
  </si>
  <si>
    <t xml:space="preserve">Assumes end-of-period discounting. </t>
  </si>
  <si>
    <t xml:space="preserve">Assumes mid-year discounting. </t>
  </si>
  <si>
    <t xml:space="preserve">Intrinsic Valuation - Using NPV and XNPV</t>
  </si>
  <si>
    <t xml:space="preserve">Average Terminal Value</t>
  </si>
  <si>
    <t xml:space="preserve">Manual End-of-Period Discounting Convention</t>
  </si>
  <si>
    <t xml:space="preserve">Manual Mid-Period Discounting Convention</t>
  </si>
  <si>
    <r>
      <t xml:space="preserve">Using the NPV function (End-of-Period Discounting) </t>
    </r>
    <r>
      <rPr>
        <b/>
        <vertAlign val="superscript"/>
        <sz val="10"/>
        <color theme="1"/>
        <rFont val="Open Sans"/>
      </rPr>
      <t>1</t>
    </r>
  </si>
  <si>
    <r>
      <t xml:space="preserve">Using the XNPV function (End-of-Period Discounting) </t>
    </r>
    <r>
      <rPr>
        <b/>
        <vertAlign val="superscript"/>
        <sz val="10"/>
        <color theme="1"/>
        <rFont val="Open Sans"/>
      </rPr>
      <t>2</t>
    </r>
  </si>
  <si>
    <r>
      <t xml:space="preserve">Using the XNPV function (Mid-Period Discounting) </t>
    </r>
    <r>
      <rPr>
        <b/>
        <vertAlign val="superscript"/>
        <sz val="10"/>
        <color theme="1"/>
        <rFont val="Open Sans"/>
      </rPr>
      <t>2</t>
    </r>
  </si>
  <si>
    <t xml:space="preserve">The NPV function assumes cash flows are evenly spaced;</t>
  </si>
  <si>
    <t xml:space="preserve"> you do not typically include the first cash flow (if there is one), as NPV will discount that cash flow as well.</t>
  </si>
  <si>
    <t xml:space="preserve">The XNPV function is more accurate as it takes into account precise dates;</t>
  </si>
  <si>
    <t xml:space="preserve">it will not discount the first cash flow.</t>
  </si>
  <si>
    <t xml:space="preserve">However, we must hardcode a zero value at the valuation date for XNPV to correctly discount the cash flows</t>
  </si>
  <si>
    <t xml:space="preserve">Intrinsic Valuation - Using IRR and XIRR</t>
  </si>
  <si>
    <r>
      <t xml:space="preserve">Using the IRR function </t>
    </r>
    <r>
      <rPr>
        <b/>
        <vertAlign val="superscript"/>
        <sz val="10"/>
        <color theme="1"/>
        <rFont val="Open Sans"/>
      </rPr>
      <t>1</t>
    </r>
  </si>
  <si>
    <t xml:space="preserve">Internal Rate of Return (IRR)</t>
  </si>
  <si>
    <t xml:space="preserve">Using the XIRR function (End-of-Period Discounting)</t>
  </si>
  <si>
    <t xml:space="preserve">Using the XIRR function (Mid-Period Discounting)</t>
  </si>
  <si>
    <t xml:space="preserve">Both IRR and XIRR require an initial cash outflow to calculate;</t>
  </si>
  <si>
    <t xml:space="preserve">The XIRR function is more accurate as it takes into account precise dates.</t>
  </si>
  <si>
    <t xml:space="preserve">Data Table</t>
  </si>
  <si>
    <t xml:space="preserve">Perpetuity Growth Rate</t>
  </si>
  <si>
    <t xml:space="preserve">Relative Valuation - Using Comparable Company Analysis</t>
  </si>
  <si>
    <t>Share</t>
  </si>
  <si>
    <t>Shares</t>
  </si>
  <si>
    <t>Net</t>
  </si>
  <si>
    <t xml:space="preserve">EV / EBITDA</t>
  </si>
  <si>
    <r>
      <t xml:space="preserve">P / E </t>
    </r>
    <r>
      <rPr>
        <b/>
        <vertAlign val="superscript"/>
        <sz val="10"/>
        <rFont val="Open Sans"/>
      </rPr>
      <t>2</t>
    </r>
  </si>
  <si>
    <t xml:space="preserve">Peer Companies</t>
  </si>
  <si>
    <t>Location</t>
  </si>
  <si>
    <t>Price</t>
  </si>
  <si>
    <t>Outstand.</t>
  </si>
  <si>
    <t>Cap</t>
  </si>
  <si>
    <r>
      <t xml:space="preserve">Value </t>
    </r>
    <r>
      <rPr>
        <b/>
        <vertAlign val="superscript"/>
        <sz val="10"/>
        <rFont val="Open Sans"/>
      </rPr>
      <t>1</t>
    </r>
  </si>
  <si>
    <t>$</t>
  </si>
  <si>
    <t>mm</t>
  </si>
  <si>
    <t>x</t>
  </si>
  <si>
    <t>Maximum</t>
  </si>
  <si>
    <t>Minimum</t>
  </si>
  <si>
    <t xml:space="preserve">Target Company Value at Median Multiples</t>
  </si>
  <si>
    <t xml:space="preserve">Enterprise Value = Market Cap + Net Debt. </t>
  </si>
  <si>
    <t xml:space="preserve">Calculated as Market Cap divided by Net Income. </t>
  </si>
  <si>
    <t xml:space="preserve">Relative Valuation - Using Precedent Transaction Analysis</t>
  </si>
  <si>
    <t>Offer</t>
  </si>
  <si>
    <t>Control</t>
  </si>
  <si>
    <t xml:space="preserve">Market Cap</t>
  </si>
  <si>
    <t>Date</t>
  </si>
  <si>
    <t>Acquirer</t>
  </si>
  <si>
    <t>Premium</t>
  </si>
  <si>
    <t xml:space="preserve">at Offer</t>
  </si>
  <si>
    <t>(YYYY-MM-DD)</t>
  </si>
  <si>
    <t>Cake</t>
  </si>
  <si>
    <t xml:space="preserve">Ice Cream</t>
  </si>
  <si>
    <t>Salt</t>
  </si>
  <si>
    <t>Pepper</t>
  </si>
  <si>
    <t>Fish</t>
  </si>
  <si>
    <t>Chips</t>
  </si>
  <si>
    <t xml:space="preserve">Peanut Butter</t>
  </si>
  <si>
    <t>Jelly</t>
  </si>
  <si>
    <t>Brisket</t>
  </si>
  <si>
    <t>NoSauce</t>
  </si>
  <si>
    <t>Biscuits</t>
  </si>
  <si>
    <t>Gravy</t>
  </si>
  <si>
    <t>CTM</t>
  </si>
  <si>
    <t>GTM</t>
  </si>
  <si>
    <t>Jik</t>
  </si>
  <si>
    <t>Octane</t>
  </si>
  <si>
    <t>Lime</t>
  </si>
  <si>
    <t>HHV</t>
  </si>
  <si>
    <t>Dela</t>
  </si>
  <si>
    <t xml:space="preserve">Football Field Chart</t>
  </si>
  <si>
    <t>Low</t>
  </si>
  <si>
    <t>Middle</t>
  </si>
  <si>
    <t>High</t>
  </si>
  <si>
    <t xml:space="preserve">Comparable Companies</t>
  </si>
  <si>
    <t xml:space="preserve">Precedent Transactions</t>
  </si>
  <si>
    <t xml:space="preserve">DCF - Perpetuity Growth</t>
  </si>
  <si>
    <t xml:space="preserve">DCF - Terminal Multiple</t>
  </si>
  <si>
    <t xml:space="preserve">52 Week High/Low</t>
  </si>
  <si>
    <t xml:space="preserve">Revenue Schedule</t>
  </si>
  <si>
    <t>OPERATIONS</t>
  </si>
  <si>
    <t xml:space="preserve">Sales Volume</t>
  </si>
  <si>
    <t xml:space="preserve">Operational Efficiency</t>
  </si>
  <si>
    <t>VOLUME</t>
  </si>
  <si>
    <t>(Units)</t>
  </si>
  <si>
    <t>PRICING</t>
  </si>
  <si>
    <t xml:space="preserve">Unit Price</t>
  </si>
  <si>
    <t>(USD/Unit)</t>
  </si>
  <si>
    <t>REVENUE</t>
  </si>
  <si>
    <t xml:space="preserve">Sales Price</t>
  </si>
  <si>
    <t xml:space="preserve">Operational Capacity Exceeded?</t>
  </si>
  <si>
    <t xml:space="preserve">Cost Schedule</t>
  </si>
  <si>
    <t>Inflation</t>
  </si>
  <si>
    <t xml:space="preserve">VARIABLE COSTS</t>
  </si>
  <si>
    <t>Materials</t>
  </si>
  <si>
    <t>Packaging</t>
  </si>
  <si>
    <t>Transportation</t>
  </si>
  <si>
    <t xml:space="preserve">FIXED COSTS</t>
  </si>
  <si>
    <t>Labor</t>
  </si>
  <si>
    <t>Utilities</t>
  </si>
  <si>
    <t>Insurance</t>
  </si>
  <si>
    <t>SUMMARY</t>
  </si>
  <si>
    <t xml:space="preserve">Variable Costs</t>
  </si>
  <si>
    <t xml:space="preserve">Fixed Costs</t>
  </si>
  <si>
    <t xml:space="preserve">Total Costs</t>
  </si>
  <si>
    <t>Interest</t>
  </si>
  <si>
    <r>
      <t xml:space="preserve">Deferred Tax </t>
    </r>
    <r>
      <rPr>
        <vertAlign val="superscript"/>
        <sz val="9"/>
        <rFont val="Open Sans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</si>
</sst>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7">
    <numFmt numFmtId="164" formatCode="_(* #,##0.00_);_(* \(#,##0.00\);_(* &quot;-&quot;??_);_(@_)"/>
    <numFmt numFmtId="165" formatCode="_-* #,##0.00_-;\-* #,##0.00_-;_-* &quot;-&quot;??_-;_-@_-"/>
    <numFmt numFmtId="166" formatCode="_-* #,##0_-;\(#,##0\)_-;_-* &quot;-&quot;_-;_-@_-"/>
    <numFmt numFmtId="167" formatCode="0&quot;A&quot;"/>
    <numFmt numFmtId="168" formatCode="_(#,##0_)_%;\(#,##0\)_%;_(&quot;–&quot;_)_%;_(@_)_%"/>
    <numFmt numFmtId="169" formatCode="0&quot;F&quot;"/>
    <numFmt numFmtId="170" formatCode="#,##0_);\(#,##0\);\-"/>
    <numFmt numFmtId="171" formatCode="_(#,##0_);\(#,##0\);_(&quot;–&quot;_);_(@_)"/>
    <numFmt numFmtId="172" formatCode="[=1]&quot;☑️&quot;_);[=0]&quot;⬜&quot;_)"/>
    <numFmt numFmtId="173" formatCode="_(#,##0.0%_);\(#,##0.0%\);_(&quot;–&quot;_)_%;_(@_)_%"/>
    <numFmt numFmtId="174" formatCode="#,##0.00_);\(#,##0.00\);\-"/>
    <numFmt numFmtId="175" formatCode="_(#,##0.00_);\(#,##0.00\);_(&quot;–&quot;_);_(@_)"/>
    <numFmt numFmtId="176" formatCode="0.0%"/>
    <numFmt numFmtId="177" formatCode="@\⁽\¹\⁾"/>
    <numFmt numFmtId="178" formatCode="_(0.0\x_);\(0.0\x\);_(&quot;–&quot;_);_(@_)"/>
    <numFmt numFmtId="179" formatCode="yyyy/mm/dd;@"/>
    <numFmt numFmtId="180" formatCode="_(#,##0_)\⁽\¹\⁾;\(#,##0\)\⁽\¹\⁾;_(&quot;–&quot;_)\⁽\¹\⁾;_(@_)\⁽\¹\⁾"/>
    <numFmt numFmtId="181" formatCode="_(#,##0_)\⁽\²\⁾;\(#,##0\)\⁽\²\⁾;_(&quot;–&quot;_)\⁽\²\⁾;_(@_)\⁽\²\⁾"/>
    <numFmt numFmtId="182" formatCode="@\⁽\²\⁾"/>
    <numFmt numFmtId="183" formatCode="@\⁽\³\⁾"/>
    <numFmt numFmtId="184" formatCode="@\⁽\⁴\⁾"/>
    <numFmt numFmtId="185" formatCode="yyyy/mm/dd_)"/>
    <numFmt numFmtId="186" formatCode="0000_)"/>
    <numFmt numFmtId="187" formatCode="[=0]&quot;NO&quot;_);[=1]&quot;YES&quot;_)"/>
    <numFmt numFmtId="188" formatCode="_(#,##0%_);\(#,##0%\);_(&quot;–&quot;_)_%;_(@_)_%"/>
    <numFmt numFmtId="189" formatCode="_(#,##0.0%_);\(#,##0.0%\);_(&quot;–&quot;_);_(@_)"/>
    <numFmt numFmtId="190" formatCode="_(#,##0%_);\(#,##0%\);_(&quot;–&quot;_);_(@_)"/>
    <numFmt numFmtId="191" formatCode="_(0.00\x_)_)_';_(\(0.00\x\)_'_';_(&quot;–&quot;_);_(@_)"/>
    <numFmt numFmtId="192" formatCode="&quot;Yes&quot;_);&quot;ERROR&quot;_);&quot;No&quot;_);&quot;ERROR&quot;_)"/>
    <numFmt numFmtId="193" formatCode="_-* #,##0.00_-;\(#,##0.00\)_-;_-* &quot;-&quot;_-;_-@_-"/>
    <numFmt numFmtId="194" formatCode="_-* #,##0_-;\-* #,##0_-;_-* &quot;-&quot;??_-;_-@_-"/>
    <numFmt numFmtId="195" formatCode="#,##0_);[Red]\(#,##0\);\-"/>
    <numFmt numFmtId="196" formatCode="0&quot;E&quot;"/>
    <numFmt numFmtId="197" formatCode="#,##0_)\⁽\⁹\⁾;\(#,##0\)\⁽\⁹\⁾"/>
    <numFmt numFmtId="198" formatCode="&quot;Yr&quot;\ 0_)"/>
    <numFmt numFmtId="199" formatCode="0&quot;F&quot;\ "/>
    <numFmt numFmtId="200" formatCode="#,##0.0_);\(#,##0.0\);\-"/>
    <numFmt numFmtId="201" formatCode="[=1]&quot;On&quot;;[=2]&quot;Off&quot;"/>
    <numFmt numFmtId="202" formatCode="[=1]&quot;Yes&quot;_);[=0]&quot;No&quot;_)"/>
    <numFmt numFmtId="203" formatCode="&quot;Yes&quot;;&quot;ERROR&quot;;&quot;No&quot;;&quot;ERROR&quot;"/>
    <numFmt numFmtId="204" formatCode="yy/mm/dd"/>
    <numFmt numFmtId="205" formatCode="_(0.0000\x_);\(0.0000\x\);_(&quot;–&quot;_);_(@_)"/>
    <numFmt numFmtId="206" formatCode="_(#,##0.0_);\(#,##0.0\);_(&quot;–&quot;_);_(@_)"/>
    <numFmt numFmtId="207" formatCode="0000\A"/>
    <numFmt numFmtId="208" formatCode="0000\F"/>
    <numFmt numFmtId="209" formatCode="yyyy\-mm\-dd;@"/>
    <numFmt numFmtId="210" formatCode="[=0]&quot;-&quot;_);[=1]&quot;Yes&quot;_)"/>
  </numFmts>
  <fonts count="73">
    <font>
      <sz val="11.000000"/>
      <color theme="1"/>
      <name val="Calibri"/>
      <scheme val="minor"/>
    </font>
    <font>
      <sz val="10.000000"/>
      <name val="Bookman"/>
    </font>
    <font>
      <u/>
      <sz val="10.000000"/>
      <color theme="10"/>
      <name val="Arial"/>
    </font>
    <font>
      <sz val="11.000000"/>
      <color theme="1"/>
      <name val="Arial Narrow"/>
    </font>
    <font>
      <sz val="10.000000"/>
      <name val="Arial"/>
    </font>
    <font>
      <sz val="11.000000"/>
      <color theme="1"/>
      <name val="Open Sans"/>
    </font>
    <font>
      <sz val="11.000000"/>
      <name val="Open Sans"/>
    </font>
    <font>
      <b/>
      <sz val="16.000000"/>
      <color theme="0"/>
      <name val="Open Sans"/>
    </font>
    <font>
      <b/>
      <sz val="14.000000"/>
      <color rgb="FF3271D2"/>
      <name val="Open Sans"/>
    </font>
    <font>
      <b/>
      <sz val="10.000000"/>
      <color theme="0"/>
      <name val="Open Sans"/>
    </font>
    <font>
      <sz val="10.000000"/>
      <color theme="0"/>
      <name val="Open Sans"/>
    </font>
    <font>
      <i/>
      <sz val="9.000000"/>
      <name val="Open Sans"/>
    </font>
    <font>
      <b/>
      <sz val="10.000000"/>
      <name val="Open Sans"/>
    </font>
    <font>
      <b/>
      <sz val="10.000000"/>
      <color rgb="FF3271D2"/>
      <name val="Open Sans"/>
    </font>
    <font>
      <sz val="10.000000"/>
      <color theme="1"/>
      <name val="Open Sans"/>
    </font>
    <font>
      <sz val="10.000000"/>
      <color rgb="FF3271D2"/>
      <name val="Open Sans"/>
    </font>
    <font>
      <b/>
      <sz val="10.000000"/>
      <color theme="1"/>
      <name val="Open Sans"/>
    </font>
    <font>
      <sz val="14.000000"/>
      <color theme="1"/>
      <name val="Open Sans"/>
    </font>
    <font>
      <i/>
      <sz val="11.000000"/>
      <color theme="1"/>
      <name val="Calibri"/>
      <scheme val="minor"/>
    </font>
    <font>
      <sz val="10.000000"/>
      <name val="Open Sans"/>
    </font>
    <font>
      <sz val="8.000000"/>
      <color rgb="FF947131"/>
      <name val="Open Sans"/>
    </font>
    <font>
      <i/>
      <sz val="10.000000"/>
      <color theme="1"/>
      <name val="Open Sans"/>
    </font>
    <font>
      <sz val="11.000000"/>
      <color rgb="FFC32838"/>
      <name val="Open Sans"/>
    </font>
    <font>
      <b/>
      <sz val="10.000000"/>
      <color rgb="FF555555"/>
      <name val="Open Sans"/>
    </font>
    <font>
      <sz val="14.000000"/>
      <color rgb="FF555555"/>
      <name val="Open Sans"/>
    </font>
    <font>
      <i/>
      <sz val="9.000000"/>
      <color theme="1"/>
      <name val="Open Sans"/>
    </font>
    <font>
      <sz val="12.000000"/>
      <color theme="1"/>
      <name val="Open Sans"/>
    </font>
    <font>
      <sz val="10.000000"/>
      <color indexed="2"/>
      <name val="Open Sans"/>
    </font>
    <font>
      <sz val="11.000000"/>
      <color rgb="FF947131"/>
      <name val="Open Sans"/>
    </font>
    <font>
      <sz val="11.000000"/>
      <color rgb="FF555555"/>
      <name val="Open Sans"/>
    </font>
    <font>
      <sz val="11.000000"/>
      <color theme="0"/>
      <name val="Open Sans"/>
    </font>
    <font>
      <sz val="9.000000"/>
      <name val="Open Sans"/>
    </font>
    <font>
      <i/>
      <sz val="10.000000"/>
      <name val="Open Sans"/>
    </font>
    <font>
      <b/>
      <sz val="12.000000"/>
      <color rgb="FF947131"/>
      <name val="Open Sans"/>
    </font>
    <font>
      <i/>
      <sz val="11.000000"/>
      <color theme="1"/>
      <name val="Open Sans"/>
    </font>
    <font>
      <b/>
      <sz val="14.000000"/>
      <color indexed="4"/>
      <name val="Open Sans"/>
    </font>
    <font>
      <sz val="10.000000"/>
      <color indexed="4"/>
      <name val="Open Sans"/>
    </font>
    <font>
      <b/>
      <sz val="14.000000"/>
      <color theme="0"/>
      <name val="Open Sans"/>
    </font>
    <font>
      <i/>
      <sz val="8.000000"/>
      <color theme="1"/>
      <name val="Open Sans"/>
    </font>
    <font>
      <b/>
      <sz val="11.000000"/>
      <color rgb="FF3271D2"/>
      <name val="Open Sans"/>
    </font>
    <font>
      <b/>
      <sz val="10.000000"/>
      <color rgb="FF947131"/>
      <name val="Open Sans"/>
    </font>
    <font>
      <i/>
      <sz val="11.000000"/>
      <name val="Open Sans"/>
    </font>
    <font>
      <i/>
      <sz val="8.000000"/>
      <name val="Open Sans"/>
    </font>
    <font>
      <sz val="12.000000"/>
      <color rgb="FF947131"/>
      <name val="Open Sans"/>
    </font>
    <font>
      <b/>
      <sz val="11.000000"/>
      <color rgb="FFFA621C"/>
      <name val="Open Sans"/>
    </font>
    <font>
      <b/>
      <i/>
      <sz val="11.000000"/>
      <color rgb="FFFA621C"/>
      <name val="Open Sans"/>
    </font>
    <font>
      <b/>
      <i/>
      <sz val="10.000000"/>
      <color rgb="FF3271D2"/>
      <name val="Open Sans"/>
    </font>
    <font>
      <b/>
      <sz val="10.000000"/>
      <color indexed="4"/>
      <name val="Open Sans"/>
    </font>
    <font>
      <b/>
      <sz val="11.000000"/>
      <color rgb="FF947131"/>
      <name val="Open Sans"/>
    </font>
    <font>
      <b/>
      <sz val="11.000000"/>
      <name val="Open Sans"/>
    </font>
    <font>
      <sz val="11.000000"/>
      <color rgb="FF3271D2"/>
      <name val="Arial Narrow"/>
    </font>
    <font>
      <sz val="11.000000"/>
      <name val="Arial Narrow"/>
    </font>
    <font>
      <sz val="11.000000"/>
      <color rgb="FFFA621C"/>
      <name val="Open Sans"/>
    </font>
    <font>
      <sz val="10.000000"/>
      <color theme="9" tint="-0.249977111117893"/>
      <name val="Open Sans"/>
    </font>
    <font>
      <b/>
      <sz val="10.000000"/>
      <color rgb="FFFA621C"/>
      <name val="Open Sans"/>
    </font>
    <font>
      <sz val="14.000000"/>
      <name val="Open Sans"/>
    </font>
    <font>
      <i/>
      <sz val="10.000000"/>
      <color rgb="FF3271D2"/>
      <name val="Open Sans"/>
    </font>
    <font>
      <sz val="8.000000"/>
      <name val="Open Sans"/>
    </font>
    <font>
      <b/>
      <sz val="10.000000"/>
      <color indexed="65"/>
      <name val="Open Sans"/>
    </font>
    <font>
      <sz val="10.000000"/>
      <color rgb="FFFA621C"/>
      <name val="Open Sans"/>
    </font>
    <font>
      <b/>
      <i/>
      <sz val="10.000000"/>
      <color theme="0"/>
      <name val="Open Sans"/>
    </font>
    <font>
      <b/>
      <i/>
      <sz val="10.000000"/>
      <name val="Open Sans"/>
    </font>
    <font>
      <b/>
      <sz val="9.000000"/>
      <name val="Open Sans"/>
    </font>
    <font>
      <sz val="10.000000"/>
      <color rgb="FFC32838"/>
      <name val="Open Sans"/>
    </font>
    <font>
      <b/>
      <sz val="11.000000"/>
      <color theme="1"/>
      <name val="Open Sans"/>
    </font>
    <font>
      <sz val="8.000000"/>
      <color theme="0"/>
      <name val="Open Sans"/>
    </font>
    <font>
      <sz val="9.000000"/>
      <color theme="0"/>
      <name val="Open Sans"/>
    </font>
    <font>
      <sz val="10.000000"/>
      <color rgb="FF947131"/>
      <name val="Open Sans"/>
    </font>
    <font>
      <i/>
      <sz val="10.000000"/>
      <color rgb="FF947131"/>
      <name val="Open Sans"/>
    </font>
    <font>
      <sz val="10.000000"/>
      <color rgb="FF289A72"/>
      <name val="Open Sans"/>
    </font>
    <font>
      <i/>
      <sz val="10.000000"/>
      <color indexed="2"/>
      <name val="Open Sans"/>
    </font>
    <font>
      <sz val="8.000000"/>
      <color rgb="FFBF7914"/>
      <name val="Open Sans"/>
    </font>
    <font>
      <sz val="14.000000"/>
      <color rgb="FF947131"/>
      <name val="Open Sans"/>
    </font>
  </fonts>
  <fills count="9">
    <fill>
      <patternFill patternType="none"/>
    </fill>
    <fill>
      <patternFill patternType="gray125"/>
    </fill>
    <fill>
      <patternFill patternType="solid">
        <fgColor rgb="FF000C3F"/>
      </patternFill>
    </fill>
    <fill>
      <patternFill patternType="solid">
        <fgColor rgb="FFE7F2FF"/>
      </patternFill>
    </fill>
    <fill>
      <patternFill patternType="solid">
        <fgColor rgb="FFF6F6F6"/>
      </patternFill>
    </fill>
    <fill>
      <patternFill patternType="solid">
        <fgColor theme="2" tint="-0.099978637043366805"/>
      </patternFill>
    </fill>
    <fill>
      <patternFill patternType="solid">
        <fgColor rgb="FFD9E5F7"/>
      </patternFill>
    </fill>
    <fill>
      <patternFill patternType="solid">
        <fgColor theme="0"/>
      </patternFill>
    </fill>
    <fill>
      <patternFill patternType="solid">
        <fgColor rgb="FF132E57"/>
      </patternFill>
    </fill>
  </fills>
  <borders count="59">
    <border>
      <left style="none"/>
      <right style="none"/>
      <top style="none"/>
      <bottom style="none"/>
      <diagonal style="none"/>
    </border>
    <border>
      <left style="none"/>
      <right style="none"/>
      <top style="thin">
        <color rgb="FF3271D2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hair">
        <color auto="1"/>
      </left>
      <right style="none"/>
      <top style="hair">
        <color auto="1"/>
      </top>
      <bottom style="none"/>
      <diagonal style="none"/>
    </border>
    <border>
      <left style="none"/>
      <right style="none"/>
      <top style="hair">
        <color auto="1"/>
      </top>
      <bottom style="none"/>
      <diagonal style="none"/>
    </border>
    <border>
      <left style="none"/>
      <right style="hair">
        <color auto="1"/>
      </right>
      <top style="hair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hair">
        <color auto="1"/>
      </left>
      <right style="none"/>
      <top style="none"/>
      <bottom style="none"/>
      <diagonal style="none"/>
    </border>
    <border>
      <left style="none"/>
      <right style="hair">
        <color auto="1"/>
      </right>
      <top style="none"/>
      <bottom style="none"/>
      <diagonal style="none"/>
    </border>
    <border>
      <left style="hair">
        <color auto="1"/>
      </left>
      <right style="none"/>
      <top style="none"/>
      <bottom style="hair">
        <color auto="1"/>
      </bottom>
      <diagonal style="none"/>
    </border>
    <border>
      <left style="none"/>
      <right style="none"/>
      <top style="none"/>
      <bottom style="hair">
        <color auto="1"/>
      </bottom>
      <diagonal style="none"/>
    </border>
    <border>
      <left style="none"/>
      <right style="hair">
        <color auto="1"/>
      </right>
      <top style="none"/>
      <bottom style="hair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rgb="FF3271D2"/>
      </top>
      <bottom style="medium">
        <color rgb="FF3271D2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hair">
        <color auto="1"/>
      </left>
      <right style="none"/>
      <top style="hair">
        <color auto="1"/>
      </top>
      <bottom style="hair">
        <color auto="1"/>
      </bottom>
      <diagonal style="none"/>
    </border>
    <border>
      <left style="none"/>
      <right style="none"/>
      <top style="hair">
        <color auto="1"/>
      </top>
      <bottom style="hair">
        <color auto="1"/>
      </bottom>
      <diagonal style="none"/>
    </border>
    <border>
      <left style="none"/>
      <right style="hair">
        <color auto="1"/>
      </right>
      <top style="hair">
        <color auto="1"/>
      </top>
      <bottom style="hair">
        <color auto="1"/>
      </bottom>
      <diagonal style="none"/>
    </border>
    <border>
      <left style="none"/>
      <right style="none"/>
      <top style="none"/>
      <bottom style="medium">
        <color rgb="FF3271D2"/>
      </bottom>
      <diagonal style="none"/>
    </border>
    <border>
      <left style="none"/>
      <right style="none"/>
      <top style="medium">
        <color rgb="FF3271D2"/>
      </top>
      <bottom style="none"/>
      <diagonal style="none"/>
    </border>
    <border>
      <left style="none"/>
      <right style="none"/>
      <top style="none"/>
      <bottom style="thin">
        <color theme="4" tint="-0.24994659260841701"/>
      </bottom>
      <diagonal style="none"/>
    </border>
    <border>
      <left style="none"/>
      <right style="none"/>
      <top style="none"/>
      <bottom style="thin">
        <color rgb="FF3271D2"/>
      </bottom>
      <diagonal style="none"/>
    </border>
    <border>
      <left style="hair">
        <color auto="1"/>
      </left>
      <right style="hair">
        <color auto="1"/>
      </right>
      <top style="none"/>
      <bottom style="none"/>
      <diagonal style="none"/>
    </border>
    <border>
      <left style="hair">
        <color auto="1"/>
      </left>
      <right style="hair">
        <color auto="1"/>
      </right>
      <top style="none"/>
      <bottom style="hair">
        <color auto="1"/>
      </bottom>
      <diagonal style="none"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none"/>
    </border>
    <border>
      <left style="thin">
        <color rgb="FF3271D2"/>
      </left>
      <right style="none"/>
      <top style="none"/>
      <bottom style="none"/>
      <diagonal style="none"/>
    </border>
    <border>
      <left style="thin">
        <color rgb="FF947131"/>
      </left>
      <right style="none"/>
      <top style="thin">
        <color rgb="FF947131"/>
      </top>
      <bottom style="thin">
        <color rgb="FF947131"/>
      </bottom>
      <diagonal style="none"/>
    </border>
    <border>
      <left style="none"/>
      <right style="none"/>
      <top style="thin">
        <color rgb="FF947131"/>
      </top>
      <bottom style="thin">
        <color rgb="FF947131"/>
      </bottom>
      <diagonal style="none"/>
    </border>
    <border>
      <left style="none"/>
      <right style="thin">
        <color rgb="FF947131"/>
      </right>
      <top style="thin">
        <color rgb="FF947131"/>
      </top>
      <bottom style="thin">
        <color rgb="FF947131"/>
      </bottom>
      <diagonal style="none"/>
    </border>
    <border>
      <left style="thin">
        <color rgb="FF3271D2"/>
      </left>
      <right style="none"/>
      <top style="thin">
        <color rgb="FF3271D2"/>
      </top>
      <bottom style="none"/>
      <diagonal style="none"/>
    </border>
    <border>
      <left style="thin">
        <color rgb="FF3271D2"/>
      </left>
      <right style="thin">
        <color rgb="FF3271D2"/>
      </right>
      <top style="thin">
        <color rgb="FF3271D2"/>
      </top>
      <bottom style="none"/>
      <diagonal style="none"/>
    </border>
    <border>
      <left style="thin">
        <color rgb="FF3271D2"/>
      </left>
      <right style="thin">
        <color rgb="FF3271D2"/>
      </right>
      <top style="none"/>
      <bottom style="none"/>
      <diagonal style="none"/>
    </border>
    <border>
      <left style="thin">
        <color rgb="FF3271D2"/>
      </left>
      <right style="thin">
        <color rgb="FF3271D2"/>
      </right>
      <top style="none"/>
      <bottom style="medium">
        <color rgb="FF3271D2"/>
      </bottom>
      <diagonal style="none"/>
    </border>
    <border>
      <left style="hair">
        <color auto="1"/>
      </left>
      <right style="hair">
        <color auto="1"/>
      </right>
      <top style="hair">
        <color auto="1"/>
      </top>
      <bottom style="none"/>
      <diagonal style="none"/>
    </border>
    <border diagonalDown="1" diagonalUp="1">
      <left style="thin">
        <color auto="1"/>
      </left>
      <right style="none"/>
      <top style="thin">
        <color auto="1"/>
      </top>
      <bottom style="none"/>
      <diagonal style="thin">
        <color auto="1"/>
      </diagonal>
    </border>
    <border diagonalDown="1" diagonalUp="1">
      <left style="none"/>
      <right style="none"/>
      <top style="thin">
        <color auto="1"/>
      </top>
      <bottom style="none"/>
      <diagonal style="thin">
        <color auto="1"/>
      </diagonal>
    </border>
    <border diagonalDown="1" diagonalUp="1">
      <left style="none"/>
      <right style="thin">
        <color auto="1"/>
      </right>
      <top style="thin">
        <color auto="1"/>
      </top>
      <bottom style="none"/>
      <diagonal style="thin">
        <color auto="1"/>
      </diagonal>
    </border>
    <border diagonalDown="1" diagonalUp="1">
      <left style="thin">
        <color auto="1"/>
      </left>
      <right style="none"/>
      <top style="none"/>
      <bottom style="thin">
        <color auto="1"/>
      </bottom>
      <diagonal style="thin">
        <color auto="1"/>
      </diagonal>
    </border>
    <border diagonalDown="1" diagonalUp="1">
      <left style="none"/>
      <right style="none"/>
      <top style="none"/>
      <bottom style="thin">
        <color auto="1"/>
      </bottom>
      <diagonal style="thin">
        <color auto="1"/>
      </diagonal>
    </border>
    <border diagonalDown="1" diagonalUp="1">
      <left style="none"/>
      <right style="thin">
        <color auto="1"/>
      </right>
      <top style="none"/>
      <bottom style="thin">
        <color auto="1"/>
      </bottom>
      <diagonal style="thin">
        <color auto="1"/>
      </diagonal>
    </border>
    <border>
      <left style="none"/>
      <right style="thin">
        <color rgb="FF3271D2"/>
      </right>
      <top style="thin">
        <color rgb="FF3271D2"/>
      </top>
      <bottom style="none"/>
      <diagonal style="none"/>
    </border>
    <border>
      <left style="none"/>
      <right style="thin">
        <color rgb="FF3271D2"/>
      </right>
      <top style="none"/>
      <bottom style="none"/>
      <diagonal style="none"/>
    </border>
    <border>
      <left style="thin">
        <color rgb="FF3271D2"/>
      </left>
      <right style="none"/>
      <top style="none"/>
      <bottom style="medium">
        <color rgb="FF3271D2"/>
      </bottom>
      <diagonal style="none"/>
    </border>
  </borders>
  <cellStyleXfs count="10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0" fillId="0" borderId="0" numFmtId="165" applyNumberFormat="1" applyFont="0" applyFill="0" applyBorder="0" applyProtection="0"/>
    <xf fontId="1" fillId="0" borderId="0" numFmtId="165" applyNumberFormat="1" applyFont="0" applyFill="0" applyBorder="0" applyProtection="0"/>
    <xf fontId="1" fillId="0" borderId="0" numFmtId="164" applyNumberFormat="1" applyFont="0" applyFill="0" applyBorder="0" applyProtection="0"/>
    <xf fontId="2" fillId="0" borderId="0" numFmtId="0" applyNumberFormat="0" applyFont="1" applyFill="0" applyBorder="0" applyProtection="0"/>
    <xf fontId="3" fillId="0" borderId="0" numFmtId="0" applyNumberFormat="1" applyFont="1" applyFill="1" applyBorder="1"/>
    <xf fontId="0" fillId="0" borderId="0" numFmtId="0" applyNumberFormat="1" applyFont="1" applyFill="1" applyBorder="1"/>
    <xf fontId="4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989">
    <xf fontId="0" fillId="0" borderId="0" numFmtId="0" xfId="0"/>
    <xf fontId="5" fillId="0" borderId="0" numFmtId="0" xfId="0" applyFont="1"/>
    <xf fontId="6" fillId="2" borderId="0" numFmtId="0" xfId="0" applyFont="1" applyFill="1"/>
    <xf fontId="7" fillId="2" borderId="0" numFmtId="0" xfId="5" applyFont="1" applyFill="1" applyAlignment="1">
      <alignment horizontal="center" vertical="center"/>
    </xf>
    <xf fontId="6" fillId="0" borderId="0" numFmtId="0" xfId="0" applyFont="1"/>
    <xf fontId="5" fillId="0" borderId="0" numFmtId="166" xfId="4" applyNumberFormat="1" applyFont="1" applyProtection="1">
      <protection locked="0"/>
    </xf>
    <xf fontId="8" fillId="3" borderId="0" numFmtId="37" xfId="0" applyNumberFormat="1" applyFont="1" applyFill="1" applyAlignment="1">
      <alignment vertical="center"/>
    </xf>
    <xf fontId="9" fillId="3" borderId="0" numFmtId="37" xfId="0" applyNumberFormat="1" applyFont="1" applyFill="1" applyAlignment="1">
      <alignment vertical="center"/>
    </xf>
    <xf fontId="10" fillId="3" borderId="0" numFmtId="37" xfId="0" applyNumberFormat="1" applyFont="1" applyFill="1" applyAlignment="1">
      <alignment vertical="center"/>
    </xf>
    <xf fontId="9" fillId="3" borderId="0" numFmtId="167" xfId="0" applyNumberFormat="1" applyFont="1" applyFill="1" applyAlignment="1">
      <alignment horizontal="right"/>
    </xf>
    <xf fontId="9" fillId="0" borderId="0" numFmtId="167" xfId="0" applyNumberFormat="1" applyFont="1" applyAlignment="1">
      <alignment horizontal="right"/>
    </xf>
    <xf fontId="11" fillId="0" borderId="0" numFmtId="168" xfId="0" applyNumberFormat="1" applyFont="1" applyAlignment="1">
      <alignment vertical="center"/>
    </xf>
    <xf fontId="9" fillId="0" borderId="0" numFmtId="37" xfId="0" applyNumberFormat="1" applyFont="1" applyAlignment="1">
      <alignment vertical="center"/>
    </xf>
    <xf fontId="10" fillId="0" borderId="0" numFmtId="37" xfId="0" applyNumberFormat="1" applyFont="1" applyAlignment="1">
      <alignment vertical="center"/>
    </xf>
    <xf fontId="12" fillId="0" borderId="0" numFmtId="167" xfId="0" applyNumberFormat="1" applyFont="1" applyAlignment="1">
      <alignment horizontal="right"/>
    </xf>
    <xf fontId="13" fillId="0" borderId="0" numFmtId="167" xfId="0" applyNumberFormat="1" applyFont="1" applyAlignment="1">
      <alignment horizontal="right"/>
    </xf>
    <xf fontId="12" fillId="0" borderId="0" numFmtId="169" xfId="0" applyNumberFormat="1" applyFont="1" applyAlignment="1">
      <alignment horizontal="right"/>
    </xf>
    <xf fontId="14" fillId="0" borderId="0" numFmtId="0" xfId="0" applyFont="1" applyAlignment="1">
      <alignment vertical="center"/>
    </xf>
    <xf fontId="15" fillId="4" borderId="0" numFmtId="170" xfId="0" applyNumberFormat="1" applyFont="1" applyFill="1" applyAlignment="1">
      <alignment horizontal="center"/>
    </xf>
    <xf fontId="11" fillId="0" borderId="0" numFmtId="168" xfId="0" applyNumberFormat="1" applyFont="1" applyAlignment="1">
      <alignment horizontal="left" vertical="center"/>
    </xf>
    <xf fontId="5" fillId="0" borderId="0" numFmtId="0" xfId="0" applyFont="1" applyAlignment="1">
      <alignment horizontal="centerContinuous"/>
    </xf>
    <xf fontId="16" fillId="0" borderId="0" numFmtId="0" xfId="0" applyFont="1" applyAlignment="1">
      <alignment horizontal="left" vertical="center"/>
    </xf>
    <xf fontId="6" fillId="0" borderId="1" numFmtId="0" xfId="0" applyFont="1" applyBorder="1"/>
    <xf fontId="17" fillId="0" borderId="0" numFmtId="37" xfId="0" applyNumberFormat="1" applyFont="1" applyAlignment="1">
      <alignment vertical="center"/>
    </xf>
    <xf fontId="5" fillId="0" borderId="1" numFmtId="0" xfId="0" applyFont="1" applyBorder="1"/>
    <xf fontId="18" fillId="4" borderId="2" numFmtId="171" xfId="0" applyNumberFormat="1" applyFont="1" applyFill="1" applyBorder="1" applyAlignment="1">
      <alignment horizontal="center"/>
    </xf>
    <xf fontId="18" fillId="4" borderId="3" numFmtId="171" xfId="0" applyNumberFormat="1" applyFont="1" applyFill="1" applyBorder="1" applyAlignment="1">
      <alignment horizontal="center"/>
    </xf>
    <xf fontId="18" fillId="4" borderId="4" numFmtId="171" xfId="0" applyNumberFormat="1" applyFont="1" applyFill="1" applyBorder="1" applyAlignment="1">
      <alignment horizontal="center"/>
    </xf>
    <xf fontId="12" fillId="0" borderId="0" numFmtId="0" xfId="0" applyFont="1" applyAlignment="1">
      <alignment horizontal="left" vertical="center"/>
    </xf>
    <xf fontId="12" fillId="0" borderId="0" numFmtId="0" xfId="0" applyFont="1" applyAlignment="1">
      <alignment horizontal="center" vertical="center"/>
    </xf>
    <xf fontId="19" fillId="0" borderId="0" numFmtId="171" xfId="0" applyNumberFormat="1" applyFont="1"/>
    <xf fontId="0" fillId="4" borderId="5" numFmtId="171" xfId="0" applyNumberFormat="1" applyFill="1" applyBorder="1" applyAlignment="1">
      <alignment horizontal="center"/>
    </xf>
    <xf fontId="0" fillId="4" borderId="6" numFmtId="171" xfId="0" applyNumberFormat="1" applyFill="1" applyBorder="1" applyAlignment="1">
      <alignment horizontal="center"/>
    </xf>
    <xf fontId="20" fillId="4" borderId="7" numFmtId="172" xfId="6" applyNumberFormat="1" applyFont="1" applyFill="1" applyBorder="1" applyAlignment="1" applyProtection="1">
      <alignment horizontal="center" vertical="center"/>
      <protection hidden="1"/>
    </xf>
    <xf fontId="21" fillId="0" borderId="0" numFmtId="0" xfId="0" applyFont="1" applyAlignment="1">
      <alignment vertical="center"/>
    </xf>
    <xf fontId="19" fillId="0" borderId="0" numFmtId="173" xfId="9" applyNumberFormat="1" applyFont="1" applyAlignment="1">
      <alignment horizontal="right" vertical="center"/>
    </xf>
    <xf fontId="19" fillId="4" borderId="0" numFmtId="170" xfId="0" applyNumberFormat="1" applyFont="1" applyFill="1" applyAlignment="1">
      <alignment horizontal="center"/>
    </xf>
    <xf fontId="5" fillId="0" borderId="0" numFmtId="0" xfId="0" applyFont="1" applyAlignment="1">
      <alignment horizontal="center"/>
    </xf>
    <xf fontId="22" fillId="0" borderId="0" numFmtId="0" xfId="0" applyFont="1"/>
    <xf fontId="18" fillId="4" borderId="8" numFmtId="171" xfId="0" applyNumberFormat="1" applyFont="1" applyFill="1" applyBorder="1" applyAlignment="1">
      <alignment horizontal="center"/>
    </xf>
    <xf fontId="18" fillId="4" borderId="9" numFmtId="171" xfId="0" applyNumberFormat="1" applyFont="1" applyFill="1" applyBorder="1" applyAlignment="1">
      <alignment horizontal="center"/>
    </xf>
    <xf fontId="18" fillId="4" borderId="10" numFmtId="171" xfId="0" applyNumberFormat="1" applyFont="1" applyFill="1" applyBorder="1" applyAlignment="1">
      <alignment horizontal="center"/>
    </xf>
    <xf fontId="15" fillId="0" borderId="0" numFmtId="0" xfId="0" applyFont="1" applyAlignment="1">
      <alignment vertical="center"/>
    </xf>
    <xf fontId="15" fillId="4" borderId="0" numFmtId="0" xfId="0" applyFont="1" applyFill="1" applyAlignment="1">
      <alignment horizontal="center" vertical="center"/>
    </xf>
    <xf fontId="19" fillId="4" borderId="11" numFmtId="170" xfId="0" applyNumberFormat="1" applyFont="1" applyFill="1" applyBorder="1" applyAlignment="1">
      <alignment horizontal="center"/>
    </xf>
    <xf fontId="19" fillId="4" borderId="12" numFmtId="170" xfId="0" applyNumberFormat="1" applyFont="1" applyFill="1" applyBorder="1" applyAlignment="1">
      <alignment horizontal="center"/>
    </xf>
    <xf fontId="19" fillId="4" borderId="13" numFmtId="174" xfId="0" applyNumberFormat="1" applyFont="1" applyFill="1" applyBorder="1" applyAlignment="1">
      <alignment horizontal="center"/>
    </xf>
    <xf fontId="23" fillId="0" borderId="0" numFmtId="167" xfId="0" applyNumberFormat="1" applyFont="1" applyAlignment="1">
      <alignment horizontal="right"/>
    </xf>
    <xf fontId="24" fillId="0" borderId="0" numFmtId="37" xfId="0" applyNumberFormat="1" applyFont="1" applyAlignment="1">
      <alignment vertical="center"/>
    </xf>
    <xf fontId="25" fillId="0" borderId="0" numFmtId="0" xfId="0" applyFont="1" applyAlignment="1" quotePrefix="1">
      <alignment horizontal="center" vertical="center"/>
    </xf>
    <xf fontId="19" fillId="0" borderId="0" numFmtId="171" xfId="1" applyNumberFormat="1" applyFont="1" applyAlignment="1">
      <alignment horizontal="right" vertical="center"/>
    </xf>
    <xf fontId="0" fillId="4" borderId="14" numFmtId="171" xfId="0" applyNumberFormat="1" applyFill="1" applyBorder="1" applyAlignment="1">
      <alignment horizontal="right"/>
    </xf>
    <xf fontId="0" fillId="4" borderId="0" numFmtId="171" xfId="0" applyNumberFormat="1" applyFill="1" applyAlignment="1">
      <alignment horizontal="right"/>
    </xf>
    <xf fontId="20" fillId="4" borderId="15" numFmtId="172" xfId="6" applyNumberFormat="1" applyFont="1" applyFill="1" applyBorder="1" applyAlignment="1" applyProtection="1">
      <alignment horizontal="center" vertical="center"/>
      <protection hidden="1"/>
    </xf>
    <xf fontId="26" fillId="0" borderId="0" numFmtId="0" xfId="0" applyFont="1"/>
    <xf fontId="0" fillId="4" borderId="14" numFmtId="175" xfId="0" applyNumberFormat="1" applyFill="1" applyBorder="1" applyAlignment="1">
      <alignment horizontal="center"/>
    </xf>
    <xf fontId="0" fillId="4" borderId="0" numFmtId="175" xfId="0" applyNumberFormat="1" applyFill="1" applyAlignment="1">
      <alignment horizontal="center"/>
    </xf>
    <xf fontId="19" fillId="4" borderId="16" numFmtId="170" xfId="0" applyNumberFormat="1" applyFont="1" applyFill="1" applyBorder="1" applyAlignment="1">
      <alignment horizontal="center"/>
    </xf>
    <xf fontId="19" fillId="4" borderId="17" numFmtId="174" xfId="0" applyNumberFormat="1" applyFont="1" applyFill="1" applyBorder="1" applyAlignment="1">
      <alignment horizontal="center"/>
    </xf>
    <xf fontId="27" fillId="0" borderId="0" numFmtId="0" xfId="0" applyFont="1" applyAlignment="1">
      <alignment horizontal="left"/>
    </xf>
    <xf fontId="28" fillId="0" borderId="0" numFmtId="0" xfId="0" applyFont="1"/>
    <xf fontId="12" fillId="0" borderId="0" numFmtId="0" xfId="0" applyFont="1" applyAlignment="1">
      <alignment horizontal="left"/>
    </xf>
    <xf fontId="19" fillId="4" borderId="18" numFmtId="170" xfId="0" applyNumberFormat="1" applyFont="1" applyFill="1" applyBorder="1" applyAlignment="1">
      <alignment horizontal="center"/>
    </xf>
    <xf fontId="19" fillId="4" borderId="19" numFmtId="170" xfId="0" applyNumberFormat="1" applyFont="1" applyFill="1" applyBorder="1" applyAlignment="1">
      <alignment horizontal="center"/>
    </xf>
    <xf fontId="19" fillId="4" borderId="20" numFmtId="174" xfId="0" applyNumberFormat="1" applyFont="1" applyFill="1" applyBorder="1" applyAlignment="1">
      <alignment horizontal="center"/>
    </xf>
    <xf fontId="29" fillId="0" borderId="0" numFmtId="0" xfId="0" applyFont="1"/>
    <xf fontId="19" fillId="0" borderId="0" numFmtId="0" xfId="0" applyFont="1" applyAlignment="1">
      <alignment vertical="center"/>
    </xf>
    <xf fontId="19" fillId="0" borderId="0" numFmtId="0" xfId="0" applyFont="1"/>
    <xf fontId="11" fillId="0" borderId="0" numFmtId="0" xfId="0" applyFont="1" applyAlignment="1" quotePrefix="1">
      <alignment horizontal="center" vertical="center"/>
    </xf>
    <xf fontId="19" fillId="0" borderId="0" numFmtId="175" xfId="0" applyNumberFormat="1" applyFont="1" applyAlignment="1">
      <alignment horizontal="right"/>
    </xf>
    <xf fontId="0" fillId="4" borderId="21" numFmtId="171" xfId="0" applyNumberFormat="1" applyFill="1" applyBorder="1" applyAlignment="1">
      <alignment horizontal="right"/>
    </xf>
    <xf fontId="0" fillId="4" borderId="22" numFmtId="171" xfId="0" applyNumberFormat="1" applyFill="1" applyBorder="1" applyAlignment="1">
      <alignment horizontal="right"/>
    </xf>
    <xf fontId="20" fillId="4" borderId="23" numFmtId="172" xfId="6" applyNumberFormat="1" applyFont="1" applyFill="1" applyBorder="1" applyAlignment="1" applyProtection="1">
      <alignment horizontal="center" vertical="center"/>
      <protection hidden="1"/>
    </xf>
    <xf fontId="19" fillId="0" borderId="0" numFmtId="0" xfId="0" applyFont="1" applyAlignment="1">
      <alignment horizontal="left"/>
    </xf>
    <xf fontId="19" fillId="0" borderId="0" numFmtId="176" xfId="9" applyNumberFormat="1" applyFont="1" applyAlignment="1">
      <alignment vertical="center"/>
    </xf>
    <xf fontId="20" fillId="4" borderId="24" numFmtId="172" xfId="6" applyNumberFormat="1" applyFont="1" applyFill="1" applyBorder="1" applyAlignment="1" applyProtection="1">
      <alignment horizontal="center" vertical="center"/>
      <protection hidden="1"/>
    </xf>
    <xf fontId="16" fillId="0" borderId="0" numFmtId="0" xfId="0" applyFont="1" applyAlignment="1">
      <alignment horizontal="centerContinuous" vertical="center"/>
    </xf>
    <xf fontId="12" fillId="0" borderId="0" numFmtId="0" xfId="0" applyFont="1" applyAlignment="1">
      <alignment horizontal="centerContinuous" vertical="center"/>
    </xf>
    <xf fontId="6" fillId="0" borderId="0" numFmtId="0" xfId="0" applyFont="1" applyAlignment="1">
      <alignment horizontal="centerContinuous"/>
    </xf>
    <xf fontId="5" fillId="0" borderId="0" numFmtId="0" xfId="0" applyFont="1" applyAlignment="1">
      <alignment horizontal="left"/>
    </xf>
    <xf fontId="30" fillId="0" borderId="0" numFmtId="0" xfId="0" applyFont="1" applyAlignment="1">
      <alignment horizontal="left"/>
    </xf>
    <xf fontId="14" fillId="0" borderId="0" numFmtId="0" xfId="0" applyFont="1" applyAlignment="1">
      <alignment horizontal="centerContinuous" vertical="center"/>
    </xf>
    <xf fontId="6" fillId="0" borderId="0" numFmtId="0" xfId="0" applyFont="1" applyAlignment="1">
      <alignment horizontal="left"/>
    </xf>
    <xf fontId="19" fillId="0" borderId="0" numFmtId="0" xfId="0" applyFont="1" applyAlignment="1">
      <alignment horizontal="centerContinuous" vertical="center"/>
    </xf>
    <xf fontId="31" fillId="4" borderId="0" numFmtId="170" xfId="0" applyNumberFormat="1" applyFont="1" applyFill="1" applyAlignment="1">
      <alignment horizontal="right"/>
    </xf>
    <xf fontId="32" fillId="0" borderId="0" numFmtId="173" xfId="9" applyNumberFormat="1" applyFont="1" applyAlignment="1">
      <alignment horizontal="right" vertical="center"/>
    </xf>
    <xf fontId="19" fillId="0" borderId="0" numFmtId="174" xfId="0" applyNumberFormat="1" applyFont="1" applyAlignment="1">
      <alignment horizontal="right"/>
    </xf>
    <xf fontId="5" fillId="4" borderId="9" numFmtId="0" xfId="0" applyFont="1" applyFill="1" applyBorder="1"/>
    <xf fontId="5" fillId="4" borderId="10" numFmtId="0" xfId="0" applyFont="1" applyFill="1" applyBorder="1"/>
    <xf fontId="14" fillId="0" borderId="0" numFmtId="0" xfId="0" applyFont="1" applyAlignment="1">
      <alignment horizontal="center" textRotation="90" vertical="center"/>
    </xf>
    <xf fontId="19" fillId="4" borderId="11" numFmtId="171" xfId="1" applyNumberFormat="1" applyFont="1" applyFill="1" applyBorder="1" applyAlignment="1">
      <alignment vertical="center"/>
    </xf>
    <xf fontId="19" fillId="4" borderId="12" numFmtId="171" xfId="1" applyNumberFormat="1" applyFont="1" applyFill="1" applyBorder="1" applyAlignment="1">
      <alignment vertical="center"/>
    </xf>
    <xf fontId="19" fillId="4" borderId="13" numFmtId="171" xfId="1" applyNumberFormat="1" applyFont="1" applyFill="1" applyBorder="1" applyAlignment="1">
      <alignment vertical="center"/>
    </xf>
    <xf fontId="19" fillId="4" borderId="11" numFmtId="175" xfId="1" applyNumberFormat="1" applyFont="1" applyFill="1" applyBorder="1" applyAlignment="1">
      <alignment vertical="center"/>
    </xf>
    <xf fontId="19" fillId="4" borderId="12" numFmtId="175" xfId="1" applyNumberFormat="1" applyFont="1" applyFill="1" applyBorder="1" applyAlignment="1">
      <alignment vertical="center"/>
    </xf>
    <xf fontId="19" fillId="4" borderId="13" numFmtId="175" xfId="1" applyNumberFormat="1" applyFont="1" applyFill="1" applyBorder="1" applyAlignment="1">
      <alignment vertical="center"/>
    </xf>
    <xf fontId="0" fillId="4" borderId="15" numFmtId="171" xfId="0" applyNumberFormat="1" applyFill="1" applyBorder="1" applyAlignment="1">
      <alignment horizontal="right"/>
    </xf>
    <xf fontId="20" fillId="4" borderId="14" numFmtId="172" xfId="6" applyNumberFormat="1" applyFont="1" applyFill="1" applyBorder="1" applyAlignment="1" applyProtection="1">
      <alignment horizontal="center" vertical="center"/>
      <protection hidden="1"/>
    </xf>
    <xf fontId="20" fillId="4" borderId="0" numFmtId="172" xfId="6" applyNumberFormat="1" applyFont="1" applyFill="1" applyAlignment="1" applyProtection="1">
      <alignment horizontal="center" vertical="center"/>
      <protection hidden="1"/>
    </xf>
    <xf fontId="19" fillId="4" borderId="16" numFmtId="171" xfId="1" applyNumberFormat="1" applyFont="1" applyFill="1" applyBorder="1" applyAlignment="1">
      <alignment vertical="center"/>
    </xf>
    <xf fontId="19" fillId="4" borderId="0" numFmtId="171" xfId="1" applyNumberFormat="1" applyFont="1" applyFill="1" applyAlignment="1">
      <alignment vertical="center"/>
    </xf>
    <xf fontId="19" fillId="4" borderId="17" numFmtId="171" xfId="1" applyNumberFormat="1" applyFont="1" applyFill="1" applyBorder="1" applyAlignment="1">
      <alignment vertical="center"/>
    </xf>
    <xf fontId="19" fillId="4" borderId="16" numFmtId="175" xfId="1" applyNumberFormat="1" applyFont="1" applyFill="1" applyBorder="1" applyAlignment="1">
      <alignment vertical="center"/>
    </xf>
    <xf fontId="19" fillId="4" borderId="0" numFmtId="175" xfId="1" applyNumberFormat="1" applyFont="1" applyFill="1" applyAlignment="1">
      <alignment vertical="center"/>
    </xf>
    <xf fontId="19" fillId="4" borderId="17" numFmtId="175" xfId="1" applyNumberFormat="1" applyFont="1" applyFill="1" applyBorder="1" applyAlignment="1">
      <alignment vertical="center"/>
    </xf>
    <xf fontId="12" fillId="4" borderId="24" numFmtId="171" xfId="1" applyNumberFormat="1" applyFont="1" applyFill="1" applyBorder="1" applyAlignment="1">
      <alignment vertical="center"/>
    </xf>
    <xf fontId="12" fillId="4" borderId="24" numFmtId="175" xfId="1" applyNumberFormat="1" applyFont="1" applyFill="1" applyBorder="1" applyAlignment="1">
      <alignment vertical="center"/>
    </xf>
    <xf fontId="19" fillId="4" borderId="18" numFmtId="171" xfId="1" applyNumberFormat="1" applyFont="1" applyFill="1" applyBorder="1" applyAlignment="1">
      <alignment vertical="center"/>
    </xf>
    <xf fontId="19" fillId="4" borderId="19" numFmtId="171" xfId="1" applyNumberFormat="1" applyFont="1" applyFill="1" applyBorder="1" applyAlignment="1">
      <alignment vertical="center"/>
    </xf>
    <xf fontId="19" fillId="4" borderId="20" numFmtId="171" xfId="1" applyNumberFormat="1" applyFont="1" applyFill="1" applyBorder="1" applyAlignment="1">
      <alignment vertical="center"/>
    </xf>
    <xf fontId="19" fillId="4" borderId="18" numFmtId="175" xfId="1" applyNumberFormat="1" applyFont="1" applyFill="1" applyBorder="1" applyAlignment="1">
      <alignment vertical="center"/>
    </xf>
    <xf fontId="19" fillId="4" borderId="19" numFmtId="175" xfId="1" applyNumberFormat="1" applyFont="1" applyFill="1" applyBorder="1" applyAlignment="1">
      <alignment vertical="center"/>
    </xf>
    <xf fontId="19" fillId="4" borderId="20" numFmtId="175" xfId="1" applyNumberFormat="1" applyFont="1" applyFill="1" applyBorder="1" applyAlignment="1">
      <alignment vertical="center"/>
    </xf>
    <xf fontId="0" fillId="4" borderId="23" numFmtId="171" xfId="0" applyNumberFormat="1" applyFill="1" applyBorder="1" applyAlignment="1">
      <alignment horizontal="right"/>
    </xf>
    <xf fontId="20" fillId="4" borderId="21" numFmtId="172" xfId="6" applyNumberFormat="1" applyFont="1" applyFill="1" applyBorder="1" applyAlignment="1" applyProtection="1">
      <alignment horizontal="center" vertical="center"/>
      <protection hidden="1"/>
    </xf>
    <xf fontId="20" fillId="4" borderId="22" numFmtId="172" xfId="6" applyNumberFormat="1" applyFont="1" applyFill="1" applyBorder="1" applyAlignment="1" applyProtection="1">
      <alignment horizontal="center" vertical="center"/>
      <protection hidden="1"/>
    </xf>
    <xf fontId="19" fillId="0" borderId="0" numFmtId="170" xfId="0" applyNumberFormat="1" applyFont="1" applyAlignment="1">
      <alignment horizontal="right"/>
    </xf>
    <xf fontId="32" fillId="0" borderId="19" numFmtId="173" xfId="9" applyNumberFormat="1" applyFont="1" applyBorder="1" applyAlignment="1">
      <alignment horizontal="right" vertical="center"/>
    </xf>
    <xf fontId="19" fillId="0" borderId="0" numFmtId="0" xfId="0" applyFont="1" applyAlignment="1">
      <alignment horizontal="center" textRotation="90" vertical="center"/>
    </xf>
    <xf fontId="19" fillId="4" borderId="11" numFmtId="173" xfId="1" applyNumberFormat="1" applyFont="1" applyFill="1" applyBorder="1" applyAlignment="1">
      <alignment horizontal="right" vertical="center"/>
    </xf>
    <xf fontId="19" fillId="4" borderId="12" numFmtId="173" xfId="1" applyNumberFormat="1" applyFont="1" applyFill="1" applyBorder="1" applyAlignment="1">
      <alignment horizontal="right" vertical="center"/>
    </xf>
    <xf fontId="19" fillId="4" borderId="13" numFmtId="173" xfId="1" applyNumberFormat="1" applyFont="1" applyFill="1" applyBorder="1" applyAlignment="1">
      <alignment horizontal="right" vertical="center"/>
    </xf>
    <xf fontId="0" fillId="4" borderId="5" numFmtId="175" xfId="0" applyNumberFormat="1" applyFill="1" applyBorder="1" applyAlignment="1">
      <alignment horizontal="center"/>
    </xf>
    <xf fontId="19" fillId="4" borderId="16" numFmtId="173" xfId="1" applyNumberFormat="1" applyFont="1" applyFill="1" applyBorder="1" applyAlignment="1">
      <alignment horizontal="right" vertical="center"/>
    </xf>
    <xf fontId="19" fillId="4" borderId="0" numFmtId="173" xfId="1" applyNumberFormat="1" applyFont="1" applyFill="1" applyAlignment="1">
      <alignment horizontal="right" vertical="center"/>
    </xf>
    <xf fontId="19" fillId="4" borderId="17" numFmtId="173" xfId="1" applyNumberFormat="1" applyFont="1" applyFill="1" applyBorder="1" applyAlignment="1">
      <alignment horizontal="right" vertical="center"/>
    </xf>
    <xf fontId="12" fillId="4" borderId="24" numFmtId="173" xfId="1" applyNumberFormat="1" applyFont="1" applyFill="1" applyBorder="1" applyAlignment="1">
      <alignment horizontal="right" vertical="center"/>
    </xf>
    <xf fontId="19" fillId="4" borderId="18" numFmtId="173" xfId="1" applyNumberFormat="1" applyFont="1" applyFill="1" applyBorder="1" applyAlignment="1">
      <alignment horizontal="right" vertical="center"/>
    </xf>
    <xf fontId="19" fillId="4" borderId="19" numFmtId="173" xfId="1" applyNumberFormat="1" applyFont="1" applyFill="1" applyBorder="1" applyAlignment="1">
      <alignment horizontal="right" vertical="center"/>
    </xf>
    <xf fontId="19" fillId="4" borderId="20" numFmtId="173" xfId="1" applyNumberFormat="1" applyFont="1" applyFill="1" applyBorder="1" applyAlignment="1">
      <alignment horizontal="right" vertical="center"/>
    </xf>
    <xf fontId="19" fillId="0" borderId="0" numFmtId="171" xfId="1" applyNumberFormat="1" applyFont="1" applyAlignment="1">
      <alignment vertical="center"/>
    </xf>
    <xf fontId="19" fillId="0" borderId="0" numFmtId="173" xfId="1" applyNumberFormat="1" applyFont="1" applyAlignment="1">
      <alignment horizontal="right" vertical="center"/>
    </xf>
    <xf fontId="31" fillId="0" borderId="0" numFmtId="177" xfId="0" applyNumberFormat="1" applyFont="1" applyAlignment="1" quotePrefix="1">
      <alignment horizontal="right"/>
    </xf>
    <xf fontId="33" fillId="0" borderId="0" numFmtId="0" xfId="0" applyFont="1" applyAlignment="1">
      <alignment vertical="center"/>
    </xf>
    <xf fontId="5" fillId="0" borderId="19" numFmtId="0" xfId="0" applyFont="1" applyBorder="1"/>
    <xf fontId="12" fillId="4" borderId="0" numFmtId="167" xfId="0" applyNumberFormat="1" applyFont="1" applyFill="1" applyAlignment="1">
      <alignment horizontal="right"/>
    </xf>
    <xf fontId="19" fillId="0" borderId="0" numFmtId="178" xfId="9" applyNumberFormat="1" applyFont="1" applyAlignment="1">
      <alignment horizontal="right" vertical="center"/>
    </xf>
    <xf fontId="19" fillId="0" borderId="12" numFmtId="170" xfId="0" applyNumberFormat="1" applyFont="1" applyBorder="1" applyAlignment="1">
      <alignment horizontal="center"/>
    </xf>
    <xf fontId="19" fillId="0" borderId="13" numFmtId="174" xfId="0" applyNumberFormat="1" applyFont="1" applyBorder="1" applyAlignment="1">
      <alignment horizontal="center"/>
    </xf>
    <xf fontId="19" fillId="0" borderId="0" numFmtId="170" xfId="0" applyNumberFormat="1" applyFont="1" applyAlignment="1">
      <alignment horizontal="center"/>
    </xf>
    <xf fontId="19" fillId="0" borderId="17" numFmtId="174" xfId="0" applyNumberFormat="1" applyFont="1" applyBorder="1" applyAlignment="1">
      <alignment horizontal="center"/>
    </xf>
    <xf fontId="19" fillId="0" borderId="19" numFmtId="170" xfId="0" applyNumberFormat="1" applyFont="1" applyBorder="1" applyAlignment="1">
      <alignment horizontal="center"/>
    </xf>
    <xf fontId="19" fillId="0" borderId="20" numFmtId="174" xfId="0" applyNumberFormat="1" applyFont="1" applyBorder="1" applyAlignment="1">
      <alignment horizontal="center"/>
    </xf>
    <xf fontId="32" fillId="0" borderId="0" numFmtId="178" xfId="9" applyNumberFormat="1" applyFont="1" applyAlignment="1">
      <alignment horizontal="right" vertical="center"/>
    </xf>
    <xf fontId="19" fillId="0" borderId="11" numFmtId="175" xfId="1" applyNumberFormat="1" applyFont="1" applyBorder="1" applyAlignment="1">
      <alignment vertical="center"/>
    </xf>
    <xf fontId="19" fillId="0" borderId="12" numFmtId="175" xfId="1" applyNumberFormat="1" applyFont="1" applyBorder="1" applyAlignment="1">
      <alignment vertical="center"/>
    </xf>
    <xf fontId="19" fillId="0" borderId="13" numFmtId="175" xfId="1" applyNumberFormat="1" applyFont="1" applyBorder="1" applyAlignment="1">
      <alignment vertical="center"/>
    </xf>
    <xf fontId="19" fillId="0" borderId="16" numFmtId="175" xfId="1" applyNumberFormat="1" applyFont="1" applyBorder="1" applyAlignment="1">
      <alignment vertical="center"/>
    </xf>
    <xf fontId="19" fillId="0" borderId="0" numFmtId="175" xfId="1" applyNumberFormat="1" applyFont="1" applyAlignment="1">
      <alignment vertical="center"/>
    </xf>
    <xf fontId="19" fillId="0" borderId="17" numFmtId="175" xfId="1" applyNumberFormat="1" applyFont="1" applyBorder="1" applyAlignment="1">
      <alignment vertical="center"/>
    </xf>
    <xf fontId="12" fillId="0" borderId="24" numFmtId="175" xfId="1" applyNumberFormat="1" applyFont="1" applyBorder="1" applyAlignment="1">
      <alignment vertical="center"/>
    </xf>
    <xf fontId="19" fillId="0" borderId="18" numFmtId="175" xfId="1" applyNumberFormat="1" applyFont="1" applyBorder="1" applyAlignment="1">
      <alignment vertical="center"/>
    </xf>
    <xf fontId="19" fillId="0" borderId="19" numFmtId="175" xfId="1" applyNumberFormat="1" applyFont="1" applyBorder="1" applyAlignment="1">
      <alignment vertical="center"/>
    </xf>
    <xf fontId="19" fillId="0" borderId="20" numFmtId="175" xfId="1" applyNumberFormat="1" applyFont="1" applyBorder="1" applyAlignment="1">
      <alignment vertical="center"/>
    </xf>
    <xf fontId="19" fillId="0" borderId="11" numFmtId="171" xfId="1" applyNumberFormat="1" applyFont="1" applyBorder="1" applyAlignment="1">
      <alignment vertical="center"/>
    </xf>
    <xf fontId="19" fillId="0" borderId="12" numFmtId="171" xfId="1" applyNumberFormat="1" applyFont="1" applyBorder="1" applyAlignment="1">
      <alignment vertical="center"/>
    </xf>
    <xf fontId="19" fillId="0" borderId="13" numFmtId="171" xfId="1" applyNumberFormat="1" applyFont="1" applyBorder="1" applyAlignment="1">
      <alignment vertical="center"/>
    </xf>
    <xf fontId="19" fillId="0" borderId="11" numFmtId="173" xfId="1" applyNumberFormat="1" applyFont="1" applyBorder="1" applyAlignment="1">
      <alignment horizontal="right" vertical="center"/>
    </xf>
    <xf fontId="19" fillId="0" borderId="12" numFmtId="173" xfId="1" applyNumberFormat="1" applyFont="1" applyBorder="1" applyAlignment="1">
      <alignment horizontal="right" vertical="center"/>
    </xf>
    <xf fontId="19" fillId="0" borderId="13" numFmtId="173" xfId="1" applyNumberFormat="1" applyFont="1" applyBorder="1" applyAlignment="1">
      <alignment horizontal="right" vertical="center"/>
    </xf>
    <xf fontId="19" fillId="0" borderId="16" numFmtId="171" xfId="1" applyNumberFormat="1" applyFont="1" applyBorder="1" applyAlignment="1">
      <alignment vertical="center"/>
    </xf>
    <xf fontId="19" fillId="0" borderId="17" numFmtId="171" xfId="1" applyNumberFormat="1" applyFont="1" applyBorder="1" applyAlignment="1">
      <alignment vertical="center"/>
    </xf>
    <xf fontId="19" fillId="0" borderId="16" numFmtId="173" xfId="1" applyNumberFormat="1" applyFont="1" applyBorder="1" applyAlignment="1">
      <alignment horizontal="right" vertical="center"/>
    </xf>
    <xf fontId="19" fillId="0" borderId="17" numFmtId="173" xfId="1" applyNumberFormat="1" applyFont="1" applyBorder="1" applyAlignment="1">
      <alignment horizontal="right" vertical="center"/>
    </xf>
    <xf fontId="12" fillId="0" borderId="24" numFmtId="171" xfId="1" applyNumberFormat="1" applyFont="1" applyBorder="1" applyAlignment="1">
      <alignment vertical="center"/>
    </xf>
    <xf fontId="12" fillId="0" borderId="24" numFmtId="173" xfId="1" applyNumberFormat="1" applyFont="1" applyBorder="1" applyAlignment="1">
      <alignment horizontal="right" vertical="center"/>
    </xf>
    <xf fontId="19" fillId="0" borderId="18" numFmtId="171" xfId="1" applyNumberFormat="1" applyFont="1" applyBorder="1" applyAlignment="1">
      <alignment vertical="center"/>
    </xf>
    <xf fontId="19" fillId="0" borderId="19" numFmtId="171" xfId="1" applyNumberFormat="1" applyFont="1" applyBorder="1" applyAlignment="1">
      <alignment vertical="center"/>
    </xf>
    <xf fontId="19" fillId="0" borderId="20" numFmtId="171" xfId="1" applyNumberFormat="1" applyFont="1" applyBorder="1" applyAlignment="1">
      <alignment vertical="center"/>
    </xf>
    <xf fontId="19" fillId="0" borderId="18" numFmtId="173" xfId="1" applyNumberFormat="1" applyFont="1" applyBorder="1" applyAlignment="1">
      <alignment horizontal="right" vertical="center"/>
    </xf>
    <xf fontId="19" fillId="0" borderId="19" numFmtId="173" xfId="1" applyNumberFormat="1" applyFont="1" applyBorder="1" applyAlignment="1">
      <alignment horizontal="right" vertical="center"/>
    </xf>
    <xf fontId="19" fillId="0" borderId="20" numFmtId="173" xfId="1" applyNumberFormat="1" applyFont="1" applyBorder="1" applyAlignment="1">
      <alignment horizontal="right" vertical="center"/>
    </xf>
    <xf fontId="5" fillId="0" borderId="0" numFmtId="166" xfId="3" applyNumberFormat="1" applyFont="1" applyProtection="1">
      <protection locked="0"/>
    </xf>
    <xf fontId="34" fillId="0" borderId="0" numFmtId="166" xfId="3" applyNumberFormat="1" applyFont="1" applyProtection="1">
      <protection locked="0"/>
    </xf>
    <xf fontId="34" fillId="0" borderId="0" numFmtId="166" xfId="3" applyNumberFormat="1" applyFont="1" applyAlignment="1" applyProtection="1">
      <alignment horizontal="center"/>
      <protection locked="0"/>
    </xf>
    <xf fontId="34" fillId="0" borderId="0" numFmtId="166" xfId="3" applyNumberFormat="1" applyFont="1" applyAlignment="1">
      <alignment horizontal="right"/>
    </xf>
    <xf fontId="35" fillId="0" borderId="0" numFmtId="37" xfId="0" applyNumberFormat="1" applyFont="1" applyAlignment="1">
      <alignment vertical="center"/>
    </xf>
    <xf fontId="12" fillId="0" borderId="25" numFmtId="169" xfId="0" applyNumberFormat="1" applyFont="1" applyBorder="1" applyAlignment="1">
      <alignment horizontal="right"/>
    </xf>
    <xf fontId="21" fillId="0" borderId="0" numFmtId="0" xfId="0" applyFont="1" applyAlignment="1">
      <alignment horizontal="right" vertical="center"/>
    </xf>
    <xf fontId="36" fillId="0" borderId="0" numFmtId="179" xfId="0" applyNumberFormat="1" applyFont="1" applyAlignment="1">
      <alignment horizontal="right" vertical="center"/>
    </xf>
    <xf fontId="12" fillId="0" borderId="0" numFmtId="0" xfId="0" applyFont="1" applyAlignment="1">
      <alignment horizontal="left" indent="1"/>
    </xf>
    <xf fontId="12" fillId="4" borderId="26" numFmtId="173" xfId="9" applyNumberFormat="1" applyFont="1" applyFill="1" applyBorder="1" applyAlignment="1">
      <alignment vertical="center"/>
    </xf>
    <xf fontId="12" fillId="4" borderId="27" numFmtId="173" xfId="9" applyNumberFormat="1" applyFont="1" applyFill="1" applyBorder="1" applyAlignment="1">
      <alignment vertical="center"/>
    </xf>
    <xf fontId="12" fillId="4" borderId="28" numFmtId="173" xfId="9" applyNumberFormat="1" applyFont="1" applyFill="1" applyBorder="1" applyAlignment="1">
      <alignment vertical="center"/>
    </xf>
    <xf fontId="14" fillId="0" borderId="0" numFmtId="176" xfId="0" applyNumberFormat="1" applyFont="1" applyAlignment="1">
      <alignment vertical="center"/>
    </xf>
    <xf fontId="21" fillId="0" borderId="0" numFmtId="176" xfId="0" applyNumberFormat="1" applyFont="1" applyAlignment="1">
      <alignment horizontal="right" vertical="center"/>
    </xf>
    <xf fontId="36" fillId="0" borderId="0" numFmtId="176" xfId="0" applyNumberFormat="1" applyFont="1" applyAlignment="1">
      <alignment horizontal="right" vertical="center"/>
    </xf>
    <xf fontId="26" fillId="0" borderId="0" numFmtId="176" xfId="0" applyNumberFormat="1" applyFont="1"/>
    <xf fontId="14" fillId="0" borderId="0" numFmtId="0" xfId="0" applyFont="1" applyAlignment="1">
      <alignment horizontal="left" indent="2" vertical="center"/>
    </xf>
    <xf fontId="15" fillId="0" borderId="11" numFmtId="173" xfId="0" applyNumberFormat="1" applyFont="1" applyBorder="1" applyAlignment="1">
      <alignment vertical="center"/>
    </xf>
    <xf fontId="15" fillId="0" borderId="12" numFmtId="173" xfId="0" applyNumberFormat="1" applyFont="1" applyBorder="1" applyAlignment="1">
      <alignment vertical="center"/>
    </xf>
    <xf fontId="15" fillId="0" borderId="13" numFmtId="173" xfId="0" applyNumberFormat="1" applyFont="1" applyBorder="1" applyAlignment="1">
      <alignment vertical="center"/>
    </xf>
    <xf fontId="15" fillId="0" borderId="16" numFmtId="173" xfId="0" applyNumberFormat="1" applyFont="1" applyBorder="1" applyAlignment="1">
      <alignment vertical="center"/>
    </xf>
    <xf fontId="15" fillId="0" borderId="0" numFmtId="173" xfId="0" applyNumberFormat="1" applyFont="1" applyAlignment="1">
      <alignment vertical="center"/>
    </xf>
    <xf fontId="15" fillId="0" borderId="17" numFmtId="173" xfId="0" applyNumberFormat="1" applyFont="1" applyBorder="1" applyAlignment="1">
      <alignment vertical="center"/>
    </xf>
    <xf fontId="15" fillId="0" borderId="18" numFmtId="173" xfId="0" applyNumberFormat="1" applyFont="1" applyBorder="1" applyAlignment="1">
      <alignment vertical="center"/>
    </xf>
    <xf fontId="15" fillId="0" borderId="19" numFmtId="173" xfId="0" applyNumberFormat="1" applyFont="1" applyBorder="1" applyAlignment="1">
      <alignment vertical="center"/>
    </xf>
    <xf fontId="15" fillId="0" borderId="20" numFmtId="173" xfId="0" applyNumberFormat="1" applyFont="1" applyBorder="1" applyAlignment="1">
      <alignment vertical="center"/>
    </xf>
    <xf fontId="19" fillId="0" borderId="0" numFmtId="0" xfId="0" applyFont="1" applyAlignment="1">
      <alignment horizontal="right" vertical="center"/>
    </xf>
    <xf fontId="32" fillId="0" borderId="0" numFmtId="176" xfId="0" applyNumberFormat="1" applyFont="1" applyAlignment="1">
      <alignment horizontal="right" vertical="center"/>
    </xf>
    <xf fontId="14" fillId="0" borderId="0" numFmtId="173" xfId="0" applyNumberFormat="1" applyFont="1" applyAlignment="1">
      <alignment vertical="center"/>
    </xf>
    <xf fontId="32" fillId="0" borderId="0" numFmtId="173" xfId="0" applyNumberFormat="1" applyFont="1" applyAlignment="1">
      <alignment horizontal="right" vertical="center"/>
    </xf>
    <xf fontId="36" fillId="0" borderId="0" numFmtId="173" xfId="0" applyNumberFormat="1" applyFont="1" applyAlignment="1">
      <alignment horizontal="right" vertical="center"/>
    </xf>
    <xf fontId="26" fillId="0" borderId="0" numFmtId="173" xfId="0" applyNumberFormat="1" applyFont="1"/>
    <xf fontId="37" fillId="0" borderId="0" numFmtId="167" xfId="0" applyNumberFormat="1" applyFont="1" applyAlignment="1">
      <alignment horizontal="right" vertical="center"/>
    </xf>
    <xf fontId="12" fillId="4" borderId="26" numFmtId="171" xfId="9" applyNumberFormat="1" applyFont="1" applyFill="1" applyBorder="1" applyAlignment="1">
      <alignment horizontal="right" vertical="center"/>
    </xf>
    <xf fontId="12" fillId="4" borderId="27" numFmtId="171" xfId="9" applyNumberFormat="1" applyFont="1" applyFill="1" applyBorder="1" applyAlignment="1">
      <alignment horizontal="right" vertical="center"/>
    </xf>
    <xf fontId="12" fillId="4" borderId="28" numFmtId="171" xfId="9" applyNumberFormat="1" applyFont="1" applyFill="1" applyBorder="1" applyAlignment="1">
      <alignment horizontal="right" vertical="center"/>
    </xf>
    <xf fontId="14" fillId="0" borderId="0" numFmtId="171" xfId="0" applyNumberFormat="1" applyFont="1" applyAlignment="1">
      <alignment horizontal="right" vertical="center"/>
    </xf>
    <xf fontId="32" fillId="0" borderId="0" numFmtId="171" xfId="0" applyNumberFormat="1" applyFont="1" applyAlignment="1">
      <alignment horizontal="right" vertical="center"/>
    </xf>
    <xf fontId="36" fillId="0" borderId="0" numFmtId="171" xfId="0" applyNumberFormat="1" applyFont="1" applyAlignment="1">
      <alignment horizontal="right" vertical="center"/>
    </xf>
    <xf fontId="26" fillId="0" borderId="0" numFmtId="171" xfId="0" applyNumberFormat="1" applyFont="1" applyAlignment="1">
      <alignment horizontal="right"/>
    </xf>
    <xf fontId="15" fillId="0" borderId="11" numFmtId="171" xfId="0" applyNumberFormat="1" applyFont="1" applyBorder="1" applyAlignment="1">
      <alignment horizontal="right" vertical="center"/>
    </xf>
    <xf fontId="15" fillId="0" borderId="12" numFmtId="171" xfId="0" applyNumberFormat="1" applyFont="1" applyBorder="1" applyAlignment="1">
      <alignment horizontal="right" vertical="center"/>
    </xf>
    <xf fontId="15" fillId="0" borderId="13" numFmtId="171" xfId="0" applyNumberFormat="1" applyFont="1" applyBorder="1" applyAlignment="1">
      <alignment horizontal="right" vertical="center"/>
    </xf>
    <xf fontId="15" fillId="0" borderId="16" numFmtId="171" xfId="0" applyNumberFormat="1" applyFont="1" applyBorder="1" applyAlignment="1">
      <alignment horizontal="right" vertical="center"/>
    </xf>
    <xf fontId="15" fillId="0" borderId="0" numFmtId="171" xfId="0" applyNumberFormat="1" applyFont="1" applyAlignment="1">
      <alignment horizontal="right" vertical="center"/>
    </xf>
    <xf fontId="15" fillId="0" borderId="17" numFmtId="171" xfId="0" applyNumberFormat="1" applyFont="1" applyBorder="1" applyAlignment="1">
      <alignment horizontal="right" vertical="center"/>
    </xf>
    <xf fontId="15" fillId="0" borderId="18" numFmtId="171" xfId="0" applyNumberFormat="1" applyFont="1" applyBorder="1" applyAlignment="1">
      <alignment horizontal="right" vertical="center"/>
    </xf>
    <xf fontId="15" fillId="0" borderId="19" numFmtId="171" xfId="0" applyNumberFormat="1" applyFont="1" applyBorder="1" applyAlignment="1">
      <alignment horizontal="right" vertical="center"/>
    </xf>
    <xf fontId="15" fillId="0" borderId="20" numFmtId="171" xfId="0" applyNumberFormat="1" applyFont="1" applyBorder="1" applyAlignment="1">
      <alignment horizontal="right" vertical="center"/>
    </xf>
    <xf fontId="15" fillId="0" borderId="29" numFmtId="173" xfId="0" applyNumberFormat="1" applyFont="1" applyBorder="1" applyAlignment="1">
      <alignment horizontal="right" vertical="center"/>
    </xf>
    <xf fontId="15" fillId="0" borderId="30" numFmtId="173" xfId="0" applyNumberFormat="1" applyFont="1" applyBorder="1" applyAlignment="1">
      <alignment horizontal="right" vertical="center"/>
    </xf>
    <xf fontId="15" fillId="0" borderId="31" numFmtId="173" xfId="0" applyNumberFormat="1" applyFont="1" applyBorder="1" applyAlignment="1">
      <alignment horizontal="right" vertical="center"/>
    </xf>
    <xf fontId="15" fillId="0" borderId="0" numFmtId="173" xfId="0" applyNumberFormat="1" applyFont="1" applyAlignment="1">
      <alignment horizontal="right" vertical="center"/>
    </xf>
    <xf fontId="19" fillId="0" borderId="0" numFmtId="0" xfId="0" applyFont="1" applyAlignment="1">
      <alignment horizontal="left" indent="2"/>
    </xf>
    <xf fontId="38" fillId="0" borderId="0" numFmtId="0" xfId="0" applyFont="1" applyAlignment="1" quotePrefix="1">
      <alignment horizontal="center" vertical="center"/>
    </xf>
    <xf fontId="19" fillId="4" borderId="13" numFmtId="171" xfId="0" applyNumberFormat="1" applyFont="1" applyFill="1" applyBorder="1" applyAlignment="1">
      <alignment horizontal="right" vertical="center"/>
    </xf>
    <xf fontId="19" fillId="4" borderId="17" numFmtId="171" xfId="0" applyNumberFormat="1" applyFont="1" applyFill="1" applyBorder="1" applyAlignment="1">
      <alignment horizontal="right" vertical="center"/>
    </xf>
    <xf fontId="19" fillId="4" borderId="20" numFmtId="171" xfId="0" applyNumberFormat="1" applyFont="1" applyFill="1" applyBorder="1" applyAlignment="1">
      <alignment horizontal="right" vertical="center"/>
    </xf>
    <xf fontId="15" fillId="0" borderId="0" numFmtId="176" xfId="0" applyNumberFormat="1" applyFont="1" applyAlignment="1">
      <alignment vertical="center"/>
    </xf>
    <xf fontId="14" fillId="0" borderId="19" numFmtId="0" xfId="0" applyFont="1" applyBorder="1" applyAlignment="1">
      <alignment vertical="center"/>
    </xf>
    <xf fontId="15" fillId="0" borderId="19" numFmtId="176" xfId="0" applyNumberFormat="1" applyFont="1" applyBorder="1" applyAlignment="1">
      <alignment vertical="center"/>
    </xf>
    <xf fontId="19" fillId="0" borderId="0" numFmtId="173" xfId="0" applyNumberFormat="1" applyFont="1"/>
    <xf fontId="5" fillId="0" borderId="0" numFmtId="0" xfId="0" applyFont="1" applyAlignment="1">
      <alignment horizontal="right"/>
    </xf>
    <xf fontId="9" fillId="0" borderId="0" numFmtId="0" xfId="0" applyFont="1" applyAlignment="1">
      <alignment horizontal="right" vertical="center"/>
    </xf>
    <xf fontId="39" fillId="0" borderId="0" numFmtId="0" xfId="0" applyFont="1" applyAlignment="1">
      <alignment horizontal="right"/>
    </xf>
    <xf fontId="13" fillId="0" borderId="0" numFmtId="0" xfId="0" applyFont="1" applyAlignment="1">
      <alignment horizontal="right"/>
    </xf>
    <xf fontId="12" fillId="0" borderId="1" numFmtId="171" xfId="0" applyNumberFormat="1" applyFont="1" applyBorder="1" applyAlignment="1">
      <alignment horizontal="center"/>
    </xf>
    <xf fontId="12" fillId="0" borderId="1" numFmtId="171" xfId="0" applyNumberFormat="1" applyFont="1" applyBorder="1" applyAlignment="1">
      <alignment horizontal="right"/>
    </xf>
    <xf fontId="12" fillId="0" borderId="0" numFmtId="0" xfId="7" applyFont="1" applyAlignment="1">
      <alignment horizontal="left"/>
    </xf>
    <xf fontId="12" fillId="0" borderId="0" numFmtId="49" xfId="0" applyNumberFormat="1" applyFont="1" applyAlignment="1">
      <alignment horizontal="left"/>
    </xf>
    <xf fontId="12" fillId="0" borderId="0" numFmtId="171" xfId="0" applyNumberFormat="1" applyFont="1" applyAlignment="1">
      <alignment horizontal="right"/>
    </xf>
    <xf fontId="16" fillId="0" borderId="32" numFmtId="0" xfId="0" applyFont="1" applyBorder="1" applyAlignment="1">
      <alignment horizontal="center"/>
    </xf>
    <xf fontId="12" fillId="0" borderId="32" numFmtId="171" xfId="0" applyNumberFormat="1" applyFont="1" applyBorder="1" applyAlignment="1">
      <alignment horizontal="center"/>
    </xf>
    <xf fontId="12" fillId="0" borderId="33" numFmtId="0" xfId="0" applyFont="1" applyBorder="1" applyAlignment="1">
      <alignment horizontal="left"/>
    </xf>
    <xf fontId="12" fillId="0" borderId="33" numFmtId="171" xfId="0" applyNumberFormat="1" applyFont="1" applyBorder="1" applyAlignment="1">
      <alignment horizontal="right"/>
    </xf>
    <xf fontId="12" fillId="0" borderId="0" numFmtId="180" xfId="0" applyNumberFormat="1" applyFont="1" applyAlignment="1">
      <alignment horizontal="right"/>
    </xf>
    <xf fontId="19" fillId="0" borderId="0" numFmtId="0" xfId="0" applyFont="1" applyAlignment="1">
      <alignment horizontal="left" vertical="center"/>
    </xf>
    <xf fontId="5" fillId="0" borderId="0" numFmtId="0" xfId="0" applyFont="1" applyAlignment="1">
      <alignment vertical="center"/>
    </xf>
    <xf fontId="15" fillId="0" borderId="0" numFmtId="37" xfId="7" applyNumberFormat="1" applyFont="1" applyAlignment="1">
      <alignment vertical="center"/>
    </xf>
    <xf fontId="15" fillId="0" borderId="0" numFmtId="37" xfId="0" applyNumberFormat="1" applyFont="1" applyAlignment="1">
      <alignment horizontal="left" vertical="center"/>
    </xf>
    <xf fontId="15" fillId="0" borderId="0" numFmtId="173" xfId="0" applyNumberFormat="1" applyFont="1" applyAlignment="1">
      <alignment horizontal="center" vertical="center"/>
    </xf>
    <xf fontId="19" fillId="4" borderId="0" numFmtId="176" xfId="9" applyNumberFormat="1" applyFont="1" applyFill="1" applyAlignment="1">
      <alignment horizontal="center" vertical="center"/>
    </xf>
    <xf fontId="15" fillId="0" borderId="0" numFmtId="175" xfId="0" applyNumberFormat="1" applyFont="1" applyAlignment="1">
      <alignment horizontal="center" vertical="center"/>
    </xf>
    <xf fontId="19" fillId="4" borderId="0" numFmtId="175" xfId="0" applyNumberFormat="1" applyFont="1" applyFill="1" applyAlignment="1">
      <alignment horizontal="center" vertical="center"/>
    </xf>
    <xf fontId="19" fillId="0" borderId="34" numFmtId="0" xfId="0" applyFont="1" applyBorder="1" applyAlignment="1">
      <alignment horizontal="left" vertical="center"/>
    </xf>
    <xf fontId="5" fillId="0" borderId="34" numFmtId="0" xfId="0" applyFont="1" applyBorder="1" applyAlignment="1">
      <alignment vertical="center"/>
    </xf>
    <xf fontId="15" fillId="0" borderId="34" numFmtId="37" xfId="7" applyNumberFormat="1" applyFont="1" applyBorder="1" applyAlignment="1">
      <alignment vertical="center"/>
    </xf>
    <xf fontId="15" fillId="0" borderId="34" numFmtId="37" xfId="0" applyNumberFormat="1" applyFont="1" applyBorder="1" applyAlignment="1">
      <alignment horizontal="left" vertical="center"/>
    </xf>
    <xf fontId="15" fillId="0" borderId="34" numFmtId="171" xfId="0" applyNumberFormat="1" applyFont="1" applyBorder="1" applyAlignment="1">
      <alignment horizontal="right" vertical="center"/>
    </xf>
    <xf fontId="15" fillId="0" borderId="34" numFmtId="173" xfId="0" applyNumberFormat="1" applyFont="1" applyBorder="1" applyAlignment="1">
      <alignment horizontal="center" vertical="center"/>
    </xf>
    <xf fontId="19" fillId="4" borderId="34" numFmtId="176" xfId="9" applyNumberFormat="1" applyFont="1" applyFill="1" applyBorder="1" applyAlignment="1">
      <alignment horizontal="center" vertical="center"/>
    </xf>
    <xf fontId="15" fillId="0" borderId="34" numFmtId="175" xfId="0" applyNumberFormat="1" applyFont="1" applyBorder="1" applyAlignment="1">
      <alignment horizontal="center" vertical="center"/>
    </xf>
    <xf fontId="19" fillId="4" borderId="34" numFmtId="175" xfId="0" applyNumberFormat="1" applyFont="1" applyFill="1" applyBorder="1" applyAlignment="1">
      <alignment horizontal="center" vertical="center"/>
    </xf>
    <xf fontId="20" fillId="0" borderId="0" numFmtId="172" xfId="6" applyNumberFormat="1" applyFont="1" applyAlignment="1" applyProtection="1">
      <alignment horizontal="center" vertical="center"/>
      <protection hidden="1"/>
    </xf>
    <xf fontId="40" fillId="0" borderId="0" numFmtId="181" xfId="0" applyNumberFormat="1" applyFont="1" applyAlignment="1">
      <alignment horizontal="center"/>
    </xf>
    <xf fontId="12" fillId="0" borderId="1" numFmtId="167" xfId="0" applyNumberFormat="1" applyFont="1" applyBorder="1" applyAlignment="1">
      <alignment horizontal="left"/>
    </xf>
    <xf fontId="19" fillId="0" borderId="1" numFmtId="173" xfId="0" applyNumberFormat="1" applyFont="1" applyBorder="1" applyAlignment="1">
      <alignment horizontal="center" vertical="center"/>
    </xf>
    <xf fontId="19" fillId="0" borderId="1" numFmtId="173" xfId="9" applyNumberFormat="1" applyFont="1" applyBorder="1" applyAlignment="1">
      <alignment horizontal="center" vertical="center"/>
    </xf>
    <xf fontId="19" fillId="0" borderId="1" numFmtId="175" xfId="0" applyNumberFormat="1" applyFont="1" applyBorder="1" applyAlignment="1">
      <alignment horizontal="center" vertical="center"/>
    </xf>
    <xf fontId="12" fillId="0" borderId="35" numFmtId="167" xfId="0" applyNumberFormat="1" applyFont="1" applyBorder="1" applyAlignment="1">
      <alignment horizontal="left"/>
    </xf>
    <xf fontId="19" fillId="0" borderId="35" numFmtId="173" xfId="0" applyNumberFormat="1" applyFont="1" applyBorder="1" applyAlignment="1">
      <alignment horizontal="center" vertical="center"/>
    </xf>
    <xf fontId="19" fillId="0" borderId="35" numFmtId="173" xfId="9" applyNumberFormat="1" applyFont="1" applyBorder="1" applyAlignment="1">
      <alignment horizontal="center" vertical="center"/>
    </xf>
    <xf fontId="19" fillId="0" borderId="35" numFmtId="175" xfId="0" applyNumberFormat="1" applyFont="1" applyBorder="1" applyAlignment="1">
      <alignment horizontal="center" vertical="center"/>
    </xf>
    <xf fontId="19" fillId="0" borderId="0" numFmtId="173" xfId="0" applyNumberFormat="1" applyFont="1" applyAlignment="1">
      <alignment vertical="center"/>
    </xf>
    <xf fontId="19" fillId="0" borderId="0" numFmtId="175" xfId="0" applyNumberFormat="1" applyFont="1" applyAlignment="1">
      <alignment horizontal="right" vertical="center"/>
    </xf>
    <xf fontId="12" fillId="0" borderId="0" numFmtId="0" xfId="0" applyFont="1" applyAlignment="1">
      <alignment horizontal="center"/>
    </xf>
    <xf fontId="15" fillId="0" borderId="0" numFmtId="175" xfId="0" applyNumberFormat="1" applyFont="1"/>
    <xf fontId="19" fillId="0" borderId="0" numFmtId="175" xfId="0" applyNumberFormat="1" applyFont="1"/>
    <xf fontId="12" fillId="0" borderId="19" numFmtId="0" xfId="0" applyFont="1" applyBorder="1" applyAlignment="1">
      <alignment horizontal="left"/>
    </xf>
    <xf fontId="9" fillId="0" borderId="19" numFmtId="37" xfId="0" applyNumberFormat="1" applyFont="1" applyBorder="1" applyAlignment="1">
      <alignment vertical="center"/>
    </xf>
    <xf fontId="6" fillId="0" borderId="19" numFmtId="0" xfId="0" applyFont="1" applyBorder="1"/>
    <xf fontId="21" fillId="0" borderId="1" numFmtId="0" xfId="0" applyFont="1" applyBorder="1" applyAlignment="1">
      <alignment vertical="center"/>
    </xf>
    <xf fontId="19" fillId="0" borderId="0" numFmtId="0" xfId="0" applyFont="1" applyAlignment="1">
      <alignment horizontal="left" indent="1"/>
    </xf>
    <xf fontId="19" fillId="4" borderId="0" numFmtId="175" xfId="0" applyNumberFormat="1" applyFont="1" applyFill="1"/>
    <xf fontId="19" fillId="4" borderId="0" numFmtId="173" xfId="0" applyNumberFormat="1" applyFont="1" applyFill="1" applyAlignment="1">
      <alignment vertical="center"/>
    </xf>
    <xf fontId="19" fillId="0" borderId="0" numFmtId="49" xfId="0" applyNumberFormat="1" applyFont="1" applyAlignment="1">
      <alignment horizontal="left" indent="1"/>
    </xf>
    <xf fontId="19" fillId="4" borderId="19" numFmtId="175" xfId="0" applyNumberFormat="1" applyFont="1" applyFill="1" applyBorder="1" applyAlignment="1">
      <alignment horizontal="right" vertical="center"/>
    </xf>
    <xf fontId="19" fillId="0" borderId="0" numFmtId="170" xfId="0" applyNumberFormat="1" applyFont="1"/>
    <xf fontId="12" fillId="0" borderId="19" numFmtId="171" xfId="0" applyNumberFormat="1" applyFont="1" applyBorder="1" applyAlignment="1">
      <alignment horizontal="right"/>
    </xf>
    <xf fontId="16" fillId="0" borderId="32" numFmtId="171" xfId="0" applyNumberFormat="1" applyFont="1" applyBorder="1" applyAlignment="1">
      <alignment horizontal="right" vertical="center"/>
    </xf>
    <xf fontId="15" fillId="0" borderId="0" numFmtId="171" xfId="0" applyNumberFormat="1" applyFont="1" applyAlignment="1">
      <alignment vertical="center"/>
    </xf>
    <xf fontId="15" fillId="0" borderId="19" numFmtId="171" xfId="0" applyNumberFormat="1" applyFont="1" applyBorder="1" applyAlignment="1">
      <alignment vertical="center"/>
    </xf>
    <xf fontId="19" fillId="4" borderId="19" numFmtId="173" xfId="0" applyNumberFormat="1" applyFont="1" applyFill="1" applyBorder="1" applyAlignment="1">
      <alignment vertical="center"/>
    </xf>
    <xf fontId="19" fillId="0" borderId="0" numFmtId="171" xfId="0" applyNumberFormat="1" applyFont="1" applyAlignment="1">
      <alignment vertical="center"/>
    </xf>
    <xf fontId="32" fillId="0" borderId="0" numFmtId="0" xfId="0" applyFont="1" applyAlignment="1">
      <alignment horizontal="left" indent="1"/>
    </xf>
    <xf fontId="34" fillId="0" borderId="0" numFmtId="0" xfId="0" applyFont="1"/>
    <xf fontId="32" fillId="4" borderId="0" numFmtId="176" xfId="9" applyNumberFormat="1" applyFont="1" applyFill="1" applyAlignment="1">
      <alignment vertical="center"/>
    </xf>
    <xf fontId="31" fillId="0" borderId="0" numFmtId="177" xfId="0" applyNumberFormat="1" applyFont="1" applyAlignment="1">
      <alignment horizontal="left" indent="1"/>
    </xf>
    <xf fontId="11" fillId="0" borderId="0" numFmtId="0" xfId="0" applyFont="1"/>
    <xf fontId="31" fillId="0" borderId="0" numFmtId="182" xfId="0" applyNumberFormat="1" applyFont="1" applyAlignment="1">
      <alignment horizontal="left" indent="1"/>
    </xf>
    <xf fontId="31" fillId="0" borderId="0" numFmtId="183" xfId="0" applyNumberFormat="1" applyFont="1" applyAlignment="1">
      <alignment horizontal="left" indent="1"/>
    </xf>
    <xf fontId="31" fillId="0" borderId="0" numFmtId="184" xfId="0" applyNumberFormat="1" applyFont="1" applyAlignment="1">
      <alignment horizontal="left" indent="1"/>
    </xf>
    <xf fontId="6" fillId="0" borderId="35" numFmtId="0" xfId="0" applyFont="1" applyBorder="1"/>
    <xf fontId="19" fillId="4" borderId="25" numFmtId="173" xfId="0" applyNumberFormat="1" applyFont="1" applyFill="1" applyBorder="1" applyAlignment="1">
      <alignment vertical="center"/>
    </xf>
    <xf fontId="16" fillId="0" borderId="0" numFmtId="0" xfId="0" applyFont="1"/>
    <xf fontId="14" fillId="0" borderId="0" numFmtId="0" xfId="0" applyFont="1"/>
    <xf fontId="14" fillId="0" borderId="1" numFmtId="49" xfId="0" applyNumberFormat="1" applyFont="1" applyBorder="1" applyAlignment="1">
      <alignment vertical="center"/>
    </xf>
    <xf fontId="14" fillId="0" borderId="1" numFmtId="0" xfId="0" applyFont="1" applyBorder="1" applyAlignment="1">
      <alignment vertical="center"/>
    </xf>
    <xf fontId="5" fillId="0" borderId="1" numFmtId="0" xfId="0" applyFont="1" applyBorder="1" applyAlignment="1">
      <alignment vertical="center"/>
    </xf>
    <xf fontId="38" fillId="0" borderId="1" numFmtId="0" xfId="0" applyFont="1" applyBorder="1" applyAlignment="1" quotePrefix="1">
      <alignment horizontal="center" vertical="center"/>
    </xf>
    <xf fontId="15" fillId="0" borderId="1" numFmtId="185" xfId="0" applyNumberFormat="1" applyFont="1" applyBorder="1" applyAlignment="1">
      <alignment horizontal="right" vertical="center"/>
    </xf>
    <xf fontId="14" fillId="0" borderId="1" numFmtId="0" xfId="0" applyFont="1" applyBorder="1"/>
    <xf fontId="15" fillId="0" borderId="1" numFmtId="171" xfId="2" applyNumberFormat="1" applyFont="1" applyBorder="1" applyAlignment="1">
      <alignment vertical="center"/>
    </xf>
    <xf fontId="14" fillId="0" borderId="0" numFmtId="49" xfId="0" applyNumberFormat="1" applyFont="1" applyAlignment="1">
      <alignment vertical="center"/>
    </xf>
    <xf fontId="15" fillId="0" borderId="0" numFmtId="185" xfId="0" applyNumberFormat="1" applyFont="1" applyAlignment="1">
      <alignment horizontal="right" vertical="center"/>
    </xf>
    <xf fontId="21" fillId="0" borderId="0" numFmtId="166" xfId="3" applyNumberFormat="1" applyFont="1" applyAlignment="1">
      <alignment horizontal="right"/>
    </xf>
    <xf fontId="15" fillId="0" borderId="0" numFmtId="171" xfId="2" applyNumberFormat="1" applyFont="1" applyAlignment="1">
      <alignment vertical="center"/>
    </xf>
    <xf fontId="19" fillId="0" borderId="0" numFmtId="186" xfId="0" applyNumberFormat="1" applyFont="1" applyAlignment="1">
      <alignment horizontal="right" vertical="center"/>
    </xf>
    <xf fontId="15" fillId="0" borderId="0" numFmtId="171" xfId="2" applyNumberFormat="1" applyFont="1"/>
    <xf fontId="19" fillId="0" borderId="0" numFmtId="187" xfId="5" applyNumberFormat="1" applyFont="1" applyAlignment="1" applyProtection="1">
      <alignment horizontal="right" vertical="center"/>
      <protection locked="0"/>
    </xf>
    <xf fontId="15" fillId="0" borderId="0" numFmtId="175" xfId="9" applyNumberFormat="1" applyFont="1" applyAlignment="1">
      <alignment horizontal="right" vertical="center"/>
    </xf>
    <xf fontId="21" fillId="0" borderId="0" numFmtId="166" xfId="3" applyNumberFormat="1" applyFont="1" applyAlignment="1" applyProtection="1">
      <alignment vertical="center"/>
      <protection locked="0"/>
    </xf>
    <xf fontId="16" fillId="0" borderId="35" numFmtId="0" xfId="0" applyFont="1" applyBorder="1"/>
    <xf fontId="5" fillId="0" borderId="35" numFmtId="0" xfId="0" applyFont="1" applyBorder="1"/>
    <xf fontId="15" fillId="0" borderId="0" numFmtId="188" xfId="9" applyNumberFormat="1" applyFont="1" applyAlignment="1">
      <alignment vertical="center"/>
    </xf>
    <xf fontId="32" fillId="0" borderId="0" numFmtId="166" xfId="3" applyNumberFormat="1" applyFont="1" applyAlignment="1">
      <alignment horizontal="right" vertical="center"/>
    </xf>
    <xf fontId="6" fillId="0" borderId="0" numFmtId="0" xfId="0" applyFont="1" applyAlignment="1">
      <alignment vertical="center"/>
    </xf>
    <xf fontId="41" fillId="0" borderId="0" numFmtId="166" xfId="3" applyNumberFormat="1" applyFont="1" applyAlignment="1" applyProtection="1">
      <alignment vertical="center"/>
      <protection locked="0"/>
    </xf>
    <xf fontId="15" fillId="0" borderId="0" numFmtId="173" xfId="9" applyNumberFormat="1" applyFont="1" applyAlignment="1">
      <alignment horizontal="right" vertical="center"/>
    </xf>
    <xf fontId="42" fillId="0" borderId="0" numFmtId="0" xfId="0" applyFont="1" applyAlignment="1" quotePrefix="1">
      <alignment horizontal="center" vertical="center"/>
    </xf>
    <xf fontId="15" fillId="0" borderId="0" numFmtId="173" xfId="9" applyNumberFormat="1" applyFont="1" applyAlignment="1">
      <alignment vertical="center"/>
    </xf>
    <xf fontId="38" fillId="0" borderId="0" numFmtId="0" xfId="0" applyFont="1" applyAlignment="1">
      <alignment horizontal="center" vertical="center"/>
    </xf>
    <xf fontId="15" fillId="0" borderId="0" numFmtId="175" xfId="2" applyNumberFormat="1" applyFont="1" applyAlignment="1">
      <alignment vertical="center"/>
    </xf>
    <xf fontId="15" fillId="0" borderId="0" numFmtId="178" xfId="2" applyNumberFormat="1" applyFont="1" applyAlignment="1">
      <alignment vertical="center"/>
    </xf>
    <xf fontId="19" fillId="4" borderId="0" numFmtId="173" xfId="9" applyNumberFormat="1" applyFont="1" applyFill="1" applyAlignment="1">
      <alignment vertical="center"/>
    </xf>
    <xf fontId="14" fillId="4" borderId="0" numFmtId="187" xfId="5" applyNumberFormat="1" applyFont="1" applyFill="1" applyAlignment="1" applyProtection="1">
      <alignment horizontal="right" vertical="center"/>
      <protection locked="0"/>
    </xf>
    <xf fontId="16" fillId="0" borderId="0" numFmtId="0" xfId="0" applyFont="1" applyAlignment="1">
      <alignment horizontal="left"/>
    </xf>
    <xf fontId="14" fillId="0" borderId="1" numFmtId="0" xfId="0" applyFont="1" applyBorder="1" applyAlignment="1">
      <alignment horizontal="left" indent="1" vertical="center"/>
    </xf>
    <xf fontId="15" fillId="0" borderId="1" numFmtId="173" xfId="9" applyNumberFormat="1" applyFont="1" applyBorder="1" applyAlignment="1">
      <alignment vertical="center"/>
    </xf>
    <xf fontId="14" fillId="0" borderId="0" numFmtId="0" xfId="0" applyFont="1" applyAlignment="1">
      <alignment horizontal="left" indent="1" vertical="center"/>
    </xf>
    <xf fontId="19" fillId="4" borderId="0" numFmtId="0" xfId="0" applyFont="1" applyFill="1" applyAlignment="1">
      <alignment horizontal="center" vertical="center"/>
    </xf>
    <xf fontId="0" fillId="4" borderId="5" numFmtId="189" xfId="0" applyNumberFormat="1" applyFill="1" applyBorder="1" applyAlignment="1">
      <alignment horizontal="center"/>
    </xf>
    <xf fontId="0" fillId="4" borderId="6" numFmtId="189" xfId="0" applyNumberFormat="1" applyFill="1" applyBorder="1" applyAlignment="1">
      <alignment horizontal="center"/>
    </xf>
    <xf fontId="0" fillId="4" borderId="14" numFmtId="171" xfId="0" applyNumberFormat="1" applyFill="1" applyBorder="1" applyAlignment="1">
      <alignment horizontal="center"/>
    </xf>
    <xf fontId="0" fillId="4" borderId="0" numFmtId="171" xfId="0" applyNumberFormat="1" applyFill="1" applyAlignment="1">
      <alignment horizontal="center"/>
    </xf>
    <xf fontId="0" fillId="4" borderId="21" numFmtId="171" xfId="0" applyNumberFormat="1" applyFill="1" applyBorder="1" applyAlignment="1">
      <alignment horizontal="center"/>
    </xf>
    <xf fontId="0" fillId="4" borderId="22" numFmtId="171" xfId="0" applyNumberFormat="1" applyFill="1" applyBorder="1" applyAlignment="1">
      <alignment horizontal="center"/>
    </xf>
    <xf fontId="43" fillId="0" borderId="0" numFmtId="0" xfId="0" applyFont="1"/>
    <xf fontId="8" fillId="0" borderId="0" numFmtId="37" xfId="0" applyNumberFormat="1" applyFont="1" applyAlignment="1">
      <alignment vertical="center"/>
    </xf>
    <xf fontId="33" fillId="0" borderId="0" numFmtId="0" xfId="0" applyFont="1"/>
    <xf fontId="16" fillId="0" borderId="0" numFmtId="0" xfId="0" applyFont="1" applyAlignment="1">
      <alignment horizontal="center"/>
    </xf>
    <xf fontId="12" fillId="0" borderId="0" numFmtId="171" xfId="0" applyNumberFormat="1" applyFont="1" applyAlignment="1">
      <alignment horizontal="center"/>
    </xf>
    <xf fontId="12" fillId="0" borderId="33" numFmtId="180" xfId="0" applyNumberFormat="1" applyFont="1" applyBorder="1" applyAlignment="1">
      <alignment horizontal="right"/>
    </xf>
    <xf fontId="12" fillId="0" borderId="33" numFmtId="171" xfId="0" applyNumberFormat="1" applyFont="1" applyBorder="1" applyAlignment="1">
      <alignment horizontal="center"/>
    </xf>
    <xf fontId="12" fillId="0" borderId="33" numFmtId="181" xfId="0" applyNumberFormat="1" applyFont="1" applyBorder="1" applyAlignment="1">
      <alignment horizontal="center"/>
    </xf>
    <xf fontId="0" fillId="4" borderId="5" numFmtId="190" xfId="0" applyNumberFormat="1" applyFill="1" applyBorder="1" applyAlignment="1">
      <alignment horizontal="center"/>
    </xf>
    <xf fontId="0" fillId="4" borderId="6" numFmtId="190" xfId="0" applyNumberFormat="1" applyFill="1" applyBorder="1" applyAlignment="1">
      <alignment horizontal="center"/>
    </xf>
    <xf fontId="0" fillId="4" borderId="6" numFmtId="175" xfId="0" applyNumberFormat="1" applyFill="1" applyBorder="1" applyAlignment="1">
      <alignment horizontal="center"/>
    </xf>
    <xf fontId="19" fillId="0" borderId="35" numFmtId="0" xfId="0" applyFont="1" applyBorder="1" applyAlignment="1">
      <alignment horizontal="left" vertical="center"/>
    </xf>
    <xf fontId="15" fillId="0" borderId="35" numFmtId="37" xfId="0" applyNumberFormat="1" applyFont="1" applyBorder="1" applyAlignment="1">
      <alignment horizontal="left" vertical="center"/>
    </xf>
    <xf fontId="15" fillId="0" borderId="35" numFmtId="171" xfId="0" applyNumberFormat="1" applyFont="1" applyBorder="1" applyAlignment="1">
      <alignment horizontal="right" vertical="center"/>
    </xf>
    <xf fontId="15" fillId="0" borderId="35" numFmtId="173" xfId="0" applyNumberFormat="1" applyFont="1" applyBorder="1" applyAlignment="1">
      <alignment horizontal="center" vertical="center"/>
    </xf>
    <xf fontId="19" fillId="4" borderId="35" numFmtId="176" xfId="9" applyNumberFormat="1" applyFont="1" applyFill="1" applyBorder="1" applyAlignment="1">
      <alignment horizontal="center" vertical="center"/>
    </xf>
    <xf fontId="15" fillId="0" borderId="35" numFmtId="175" xfId="0" applyNumberFormat="1" applyFont="1" applyBorder="1" applyAlignment="1">
      <alignment horizontal="center" vertical="center"/>
    </xf>
    <xf fontId="19" fillId="4" borderId="35" numFmtId="175" xfId="0" applyNumberFormat="1" applyFont="1" applyFill="1" applyBorder="1" applyAlignment="1">
      <alignment horizontal="center" vertical="center"/>
    </xf>
    <xf fontId="19" fillId="0" borderId="0" numFmtId="191" xfId="0" applyNumberFormat="1" applyFont="1" applyAlignment="1">
      <alignment horizontal="center" vertical="center"/>
    </xf>
    <xf fontId="15" fillId="0" borderId="0" numFmtId="175" xfId="0" applyNumberFormat="1" applyFont="1" applyAlignment="1">
      <alignment horizontal="right" vertical="center"/>
    </xf>
    <xf fontId="19" fillId="0" borderId="0" numFmtId="175" xfId="0" applyNumberFormat="1" applyFont="1" applyAlignment="1">
      <alignment horizontal="center" vertical="center"/>
    </xf>
    <xf fontId="0" fillId="4" borderId="14" numFmtId="175" xfId="0" applyNumberFormat="1" applyFill="1" applyBorder="1" applyAlignment="1">
      <alignment horizontal="right"/>
    </xf>
    <xf fontId="0" fillId="4" borderId="0" numFmtId="175" xfId="0" applyNumberFormat="1" applyFill="1" applyAlignment="1">
      <alignment horizontal="right"/>
    </xf>
    <xf fontId="0" fillId="4" borderId="14" numFmtId="189" xfId="0" applyNumberFormat="1" applyFill="1" applyBorder="1" applyAlignment="1">
      <alignment horizontal="right"/>
    </xf>
    <xf fontId="0" fillId="4" borderId="0" numFmtId="189" xfId="0" applyNumberFormat="1" applyFill="1" applyAlignment="1">
      <alignment horizontal="right"/>
    </xf>
    <xf fontId="0" fillId="4" borderId="21" numFmtId="189" xfId="0" applyNumberFormat="1" applyFill="1" applyBorder="1" applyAlignment="1">
      <alignment horizontal="right"/>
    </xf>
    <xf fontId="0" fillId="4" borderId="22" numFmtId="189" xfId="0" applyNumberFormat="1" applyFill="1" applyBorder="1" applyAlignment="1">
      <alignment horizontal="right"/>
    </xf>
    <xf fontId="5" fillId="4" borderId="14" numFmtId="0" xfId="0" applyFont="1" applyFill="1" applyBorder="1"/>
    <xf fontId="5" fillId="4" borderId="0" numFmtId="0" xfId="0" applyFont="1" applyFill="1"/>
    <xf fontId="5" fillId="4" borderId="15" numFmtId="0" xfId="0" applyFont="1" applyFill="1" applyBorder="1"/>
    <xf fontId="28" fillId="4" borderId="15" numFmtId="0" xfId="0" applyFont="1" applyFill="1" applyBorder="1"/>
    <xf fontId="19" fillId="0" borderId="0" numFmtId="192" xfId="5" applyNumberFormat="1" applyFont="1" applyAlignment="1" applyProtection="1">
      <alignment horizontal="right" vertical="center"/>
      <protection locked="0"/>
    </xf>
    <xf fontId="21" fillId="0" borderId="0" numFmtId="166" xfId="3" applyNumberFormat="1" applyFont="1" applyAlignment="1" applyProtection="1">
      <alignment horizontal="center"/>
      <protection locked="0"/>
    </xf>
    <xf fontId="14" fillId="0" borderId="0" numFmtId="166" xfId="3" applyNumberFormat="1" applyFont="1" applyAlignment="1" applyProtection="1">
      <alignment vertical="center"/>
      <protection locked="0"/>
    </xf>
    <xf fontId="14" fillId="4" borderId="0" numFmtId="171" xfId="5" applyNumberFormat="1" applyFont="1" applyFill="1" applyAlignment="1" applyProtection="1">
      <alignment horizontal="right" vertical="center"/>
      <protection locked="0"/>
    </xf>
    <xf fontId="44" fillId="0" borderId="0" numFmtId="166" xfId="3" applyNumberFormat="1" applyFont="1" applyAlignment="1" applyProtection="1">
      <alignment horizontal="center"/>
      <protection locked="0"/>
    </xf>
    <xf fontId="44" fillId="0" borderId="0" numFmtId="166" xfId="3" applyNumberFormat="1" applyFont="1" applyProtection="1">
      <protection locked="0"/>
    </xf>
    <xf fontId="45" fillId="0" borderId="0" numFmtId="166" xfId="3" applyNumberFormat="1" applyFont="1" applyProtection="1">
      <protection locked="0"/>
    </xf>
    <xf fontId="45" fillId="0" borderId="0" numFmtId="193" xfId="3" applyNumberFormat="1" applyFont="1" applyAlignment="1" applyProtection="1">
      <alignment horizontal="center"/>
      <protection locked="0"/>
    </xf>
    <xf fontId="12" fillId="5" borderId="32" numFmtId="167" xfId="0" applyNumberFormat="1" applyFont="1" applyFill="1" applyBorder="1" applyAlignment="1">
      <alignment horizontal="right"/>
    </xf>
    <xf fontId="12" fillId="5" borderId="25" numFmtId="169" xfId="0" applyNumberFormat="1" applyFont="1" applyFill="1" applyBorder="1" applyAlignment="1">
      <alignment horizontal="right"/>
    </xf>
    <xf fontId="19" fillId="0" borderId="11" numFmtId="0" xfId="0" applyFont="1" applyBorder="1" applyAlignment="1">
      <alignment horizontal="left"/>
    </xf>
    <xf fontId="19" fillId="5" borderId="13" numFmtId="171" xfId="0" applyNumberFormat="1" applyFont="1" applyFill="1" applyBorder="1"/>
    <xf fontId="15" fillId="0" borderId="29" numFmtId="171" xfId="0" applyNumberFormat="1" applyFont="1" applyBorder="1"/>
    <xf fontId="15" fillId="0" borderId="30" numFmtId="171" xfId="0" applyNumberFormat="1" applyFont="1" applyBorder="1"/>
    <xf fontId="19" fillId="5" borderId="30" numFmtId="171" xfId="0" applyNumberFormat="1" applyFont="1" applyFill="1" applyBorder="1"/>
    <xf fontId="19" fillId="5" borderId="31" numFmtId="171" xfId="0" applyNumberFormat="1" applyFont="1" applyFill="1" applyBorder="1"/>
    <xf fontId="15" fillId="0" borderId="18" numFmtId="173" xfId="0" applyNumberFormat="1" applyFont="1" applyBorder="1"/>
    <xf fontId="15" fillId="0" borderId="19" numFmtId="173" xfId="0" applyNumberFormat="1" applyFont="1" applyBorder="1"/>
    <xf fontId="19" fillId="5" borderId="19" numFmtId="173" xfId="0" applyNumberFormat="1" applyFont="1" applyFill="1" applyBorder="1"/>
    <xf fontId="42" fillId="0" borderId="0" numFmtId="0" xfId="0" applyFont="1" applyAlignment="1">
      <alignment horizontal="center"/>
    </xf>
    <xf fontId="15" fillId="0" borderId="0" numFmtId="171" xfId="0" applyNumberFormat="1" applyFont="1"/>
    <xf fontId="46" fillId="3" borderId="0" numFmtId="0" xfId="0" applyFont="1" applyFill="1" applyAlignment="1">
      <alignment horizontal="right" vertical="center"/>
    </xf>
    <xf fontId="15" fillId="0" borderId="29" numFmtId="173" xfId="0" applyNumberFormat="1" applyFont="1" applyBorder="1"/>
    <xf fontId="15" fillId="0" borderId="30" numFmtId="173" xfId="0" applyNumberFormat="1" applyFont="1" applyBorder="1"/>
    <xf fontId="19" fillId="5" borderId="30" numFmtId="173" xfId="0" applyNumberFormat="1" applyFont="1" applyFill="1" applyBorder="1"/>
    <xf fontId="15" fillId="0" borderId="0" numFmtId="173" xfId="0" applyNumberFormat="1" applyFont="1"/>
    <xf fontId="14" fillId="0" borderId="11" numFmtId="0" xfId="0" applyFont="1" applyBorder="1" applyAlignment="1">
      <alignment vertical="center"/>
    </xf>
    <xf fontId="19" fillId="5" borderId="13" numFmtId="194" xfId="2" applyNumberFormat="1" applyFont="1" applyFill="1" applyBorder="1" applyAlignment="1">
      <alignment horizontal="right"/>
    </xf>
    <xf fontId="19" fillId="0" borderId="18" numFmtId="0" xfId="0" applyFont="1" applyBorder="1" applyAlignment="1">
      <alignment horizontal="left"/>
    </xf>
    <xf fontId="19" fillId="5" borderId="20" numFmtId="176" xfId="9" applyNumberFormat="1" applyFont="1" applyFill="1" applyBorder="1"/>
    <xf fontId="15" fillId="0" borderId="0" numFmtId="171" xfId="0" applyNumberFormat="1" applyFont="1" applyAlignment="1">
      <alignment horizontal="right"/>
    </xf>
    <xf fontId="19" fillId="5" borderId="0" numFmtId="171" xfId="0" applyNumberFormat="1" applyFont="1" applyFill="1" applyAlignment="1">
      <alignment horizontal="right"/>
    </xf>
    <xf fontId="15" fillId="0" borderId="19" numFmtId="171" xfId="0" applyNumberFormat="1" applyFont="1" applyBorder="1" applyAlignment="1">
      <alignment horizontal="right"/>
    </xf>
    <xf fontId="19" fillId="5" borderId="19" numFmtId="171" xfId="0" applyNumberFormat="1" applyFont="1" applyFill="1" applyBorder="1" applyAlignment="1">
      <alignment horizontal="right"/>
    </xf>
    <xf fontId="12" fillId="0" borderId="0" numFmtId="0" xfId="0" applyFont="1"/>
    <xf fontId="12" fillId="5" borderId="0" numFmtId="171" xfId="0" applyNumberFormat="1" applyFont="1" applyFill="1" applyAlignment="1">
      <alignment horizontal="right"/>
    </xf>
    <xf fontId="12" fillId="0" borderId="0" numFmtId="171" xfId="9" applyNumberFormat="1" applyFont="1" applyAlignment="1">
      <alignment horizontal="right"/>
    </xf>
    <xf fontId="12" fillId="0" borderId="36" numFmtId="171" xfId="0" applyNumberFormat="1" applyFont="1" applyBorder="1" applyAlignment="1">
      <alignment horizontal="right"/>
    </xf>
    <xf fontId="47" fillId="0" borderId="0" numFmtId="171" xfId="9" applyNumberFormat="1" applyFont="1" applyAlignment="1">
      <alignment horizontal="right"/>
    </xf>
    <xf fontId="12" fillId="0" borderId="36" numFmtId="171" xfId="9" applyNumberFormat="1" applyFont="1" applyBorder="1" applyAlignment="1">
      <alignment horizontal="right"/>
    </xf>
    <xf fontId="19" fillId="5" borderId="36" numFmtId="171" xfId="0" applyNumberFormat="1" applyFont="1" applyFill="1" applyBorder="1" applyAlignment="1">
      <alignment horizontal="right"/>
    </xf>
    <xf fontId="19" fillId="5" borderId="37" numFmtId="171" xfId="0" applyNumberFormat="1" applyFont="1" applyFill="1" applyBorder="1" applyAlignment="1">
      <alignment horizontal="right"/>
    </xf>
    <xf fontId="15" fillId="0" borderId="22" numFmtId="171" xfId="0" applyNumberFormat="1" applyFont="1" applyBorder="1" applyAlignment="1">
      <alignment horizontal="right"/>
    </xf>
    <xf fontId="19" fillId="0" borderId="22" numFmtId="171" xfId="0" applyNumberFormat="1" applyFont="1" applyBorder="1" applyAlignment="1">
      <alignment horizontal="right"/>
    </xf>
    <xf fontId="19" fillId="0" borderId="0" numFmtId="171" xfId="0" applyNumberFormat="1" applyFont="1" applyAlignment="1">
      <alignment horizontal="right"/>
    </xf>
    <xf fontId="19" fillId="0" borderId="36" numFmtId="171" xfId="0" applyNumberFormat="1" applyFont="1" applyBorder="1" applyAlignment="1">
      <alignment horizontal="right"/>
    </xf>
    <xf fontId="48" fillId="0" borderId="0" numFmtId="0" xfId="0" applyFont="1" applyAlignment="1">
      <alignment horizontal="center" vertical="center"/>
    </xf>
    <xf fontId="12" fillId="5" borderId="9" numFmtId="171" xfId="0" applyNumberFormat="1" applyFont="1" applyFill="1" applyBorder="1" applyAlignment="1">
      <alignment horizontal="right" vertical="center"/>
    </xf>
    <xf fontId="12" fillId="5" borderId="38" numFmtId="171" xfId="0" applyNumberFormat="1" applyFont="1" applyFill="1" applyBorder="1" applyAlignment="1">
      <alignment horizontal="right" vertical="center"/>
    </xf>
    <xf fontId="12" fillId="0" borderId="0" numFmtId="195" xfId="0" applyNumberFormat="1" applyFont="1"/>
    <xf fontId="49" fillId="0" borderId="0" numFmtId="0" xfId="0" applyFont="1"/>
    <xf fontId="12" fillId="0" borderId="19" numFmtId="0" xfId="0" applyFont="1" applyBorder="1"/>
    <xf fontId="19" fillId="0" borderId="19" numFmtId="0" xfId="0" applyFont="1" applyBorder="1"/>
    <xf fontId="12" fillId="0" borderId="19" numFmtId="195" xfId="0" applyNumberFormat="1" applyFont="1" applyBorder="1"/>
    <xf fontId="8" fillId="6" borderId="0" numFmtId="37" xfId="0" applyNumberFormat="1" applyFont="1" applyFill="1" applyAlignment="1">
      <alignment vertical="center"/>
    </xf>
    <xf fontId="9" fillId="6" borderId="0" numFmtId="37" xfId="0" applyNumberFormat="1" applyFont="1" applyFill="1" applyAlignment="1">
      <alignment vertical="center"/>
    </xf>
    <xf fontId="10" fillId="6" borderId="0" numFmtId="37" xfId="0" applyNumberFormat="1" applyFont="1" applyFill="1" applyAlignment="1">
      <alignment vertical="center"/>
    </xf>
    <xf fontId="9" fillId="6" borderId="0" numFmtId="167" xfId="0" applyNumberFormat="1" applyFont="1" applyFill="1" applyAlignment="1">
      <alignment horizontal="right"/>
    </xf>
    <xf fontId="19" fillId="0" borderId="0" numFmtId="195" xfId="0" applyNumberFormat="1" applyFont="1"/>
    <xf fontId="36" fillId="0" borderId="0" numFmtId="170" xfId="0" applyNumberFormat="1" applyFont="1" applyAlignment="1">
      <alignment horizontal="right"/>
    </xf>
    <xf fontId="19" fillId="5" borderId="0" numFmtId="170" xfId="0" applyNumberFormat="1" applyFont="1" applyFill="1"/>
    <xf fontId="15" fillId="0" borderId="0" numFmtId="170" xfId="0" applyNumberFormat="1" applyFont="1"/>
    <xf fontId="19" fillId="5" borderId="12" numFmtId="170" xfId="0" applyNumberFormat="1" applyFont="1" applyFill="1" applyBorder="1"/>
    <xf fontId="50" fillId="0" borderId="0" numFmtId="170" xfId="0" applyNumberFormat="1" applyFont="1"/>
    <xf fontId="51" fillId="0" borderId="0" numFmtId="170" xfId="0" applyNumberFormat="1" applyFont="1"/>
    <xf fontId="5" fillId="0" borderId="0" numFmtId="170" xfId="0" applyNumberFormat="1" applyFont="1"/>
    <xf fontId="12" fillId="5" borderId="9" numFmtId="170" xfId="0" applyNumberFormat="1" applyFont="1" applyFill="1" applyBorder="1" applyAlignment="1">
      <alignment horizontal="right" vertical="center"/>
    </xf>
    <xf fontId="36" fillId="0" borderId="0" numFmtId="170" xfId="0" applyNumberFormat="1" applyFont="1"/>
    <xf fontId="52" fillId="0" borderId="0" numFmtId="0" xfId="0" applyFont="1"/>
    <xf fontId="15" fillId="0" borderId="0" numFmtId="195" xfId="0" applyNumberFormat="1" applyFont="1"/>
    <xf fontId="19" fillId="5" borderId="0" numFmtId="195" xfId="0" applyNumberFormat="1" applyFont="1" applyFill="1"/>
    <xf fontId="12" fillId="5" borderId="9" numFmtId="195" xfId="0" applyNumberFormat="1" applyFont="1" applyFill="1" applyBorder="1" applyAlignment="1">
      <alignment horizontal="right" vertical="center"/>
    </xf>
    <xf fontId="53" fillId="0" borderId="0" numFmtId="0" xfId="0" applyFont="1" applyAlignment="1">
      <alignment horizontal="left"/>
    </xf>
    <xf fontId="15" fillId="5" borderId="0" numFmtId="171" xfId="0" applyNumberFormat="1" applyFont="1" applyFill="1" applyAlignment="1">
      <alignment horizontal="right"/>
    </xf>
    <xf fontId="19" fillId="5" borderId="12" numFmtId="195" xfId="0" applyNumberFormat="1" applyFont="1" applyFill="1" applyBorder="1"/>
    <xf fontId="20" fillId="5" borderId="0" numFmtId="172" xfId="6" applyNumberFormat="1" applyFont="1" applyFill="1" applyAlignment="1" applyProtection="1">
      <alignment horizontal="center" vertical="center"/>
      <protection hidden="1"/>
    </xf>
    <xf fontId="54" fillId="0" borderId="0" numFmtId="0" xfId="0" applyFont="1" applyAlignment="1">
      <alignment horizontal="left"/>
    </xf>
    <xf fontId="13" fillId="0" borderId="0" numFmtId="195" xfId="0" applyNumberFormat="1" applyFont="1"/>
    <xf fontId="32" fillId="5" borderId="0" numFmtId="171" xfId="2" applyNumberFormat="1" applyFont="1" applyFill="1" applyAlignment="1">
      <alignment horizontal="right"/>
    </xf>
    <xf fontId="14" fillId="3" borderId="0" numFmtId="37" xfId="0" applyNumberFormat="1" applyFont="1" applyFill="1" applyAlignment="1">
      <alignment vertical="center"/>
    </xf>
    <xf fontId="11" fillId="3" borderId="0" numFmtId="196" xfId="0" applyNumberFormat="1" applyFont="1" applyFill="1" applyAlignment="1">
      <alignment horizontal="centerContinuous"/>
    </xf>
    <xf fontId="12" fillId="3" borderId="0" numFmtId="196" xfId="0" applyNumberFormat="1" applyFont="1" applyFill="1" applyAlignment="1">
      <alignment horizontal="centerContinuous"/>
    </xf>
    <xf fontId="19" fillId="5" borderId="11" numFmtId="171" xfId="0" applyNumberFormat="1" applyFont="1" applyFill="1" applyBorder="1"/>
    <xf fontId="19" fillId="5" borderId="12" numFmtId="171" xfId="0" applyNumberFormat="1" applyFont="1" applyFill="1" applyBorder="1"/>
    <xf fontId="19" fillId="5" borderId="16" numFmtId="171" xfId="0" applyNumberFormat="1" applyFont="1" applyFill="1" applyBorder="1"/>
    <xf fontId="19" fillId="5" borderId="0" numFmtId="171" xfId="0" applyNumberFormat="1" applyFont="1" applyFill="1"/>
    <xf fontId="19" fillId="5" borderId="17" numFmtId="171" xfId="0" applyNumberFormat="1" applyFont="1" applyFill="1" applyBorder="1"/>
    <xf fontId="19" fillId="5" borderId="18" numFmtId="171" xfId="0" applyNumberFormat="1" applyFont="1" applyFill="1" applyBorder="1"/>
    <xf fontId="19" fillId="5" borderId="20" numFmtId="171" xfId="0" applyNumberFormat="1" applyFont="1" applyFill="1" applyBorder="1"/>
    <xf fontId="11" fillId="0" borderId="0" numFmtId="0" xfId="0" applyFont="1" applyAlignment="1">
      <alignment horizontal="center"/>
    </xf>
    <xf fontId="19" fillId="0" borderId="0" numFmtId="40" xfId="0" applyNumberFormat="1" applyFont="1"/>
    <xf fontId="19" fillId="0" borderId="0" numFmtId="38" xfId="0" applyNumberFormat="1" applyFont="1"/>
    <xf fontId="19" fillId="5" borderId="19" numFmtId="171" xfId="0" applyNumberFormat="1" applyFont="1" applyFill="1" applyBorder="1"/>
    <xf fontId="48" fillId="0" borderId="0" numFmtId="0" xfId="0" applyFont="1" applyAlignment="1">
      <alignment horizontal="right" vertical="center"/>
    </xf>
    <xf fontId="12" fillId="5" borderId="9" numFmtId="171" xfId="0" applyNumberFormat="1" applyFont="1" applyFill="1" applyBorder="1" applyAlignment="1">
      <alignment vertical="center"/>
    </xf>
    <xf fontId="12" fillId="5" borderId="39" numFmtId="171" xfId="0" applyNumberFormat="1" applyFont="1" applyFill="1" applyBorder="1" applyAlignment="1">
      <alignment vertical="center"/>
    </xf>
    <xf fontId="12" fillId="0" borderId="0" numFmtId="171" xfId="0" applyNumberFormat="1" applyFont="1"/>
    <xf fontId="53" fillId="0" borderId="0" numFmtId="195" xfId="0" applyNumberFormat="1" applyFont="1"/>
    <xf fontId="8" fillId="3" borderId="0" numFmtId="197" xfId="0" applyNumberFormat="1" applyFont="1" applyFill="1" applyAlignment="1">
      <alignment vertical="center"/>
    </xf>
    <xf fontId="12" fillId="0" borderId="0" numFmtId="9" xfId="9" applyNumberFormat="1" applyFont="1" applyAlignment="1">
      <alignment horizontal="right"/>
    </xf>
    <xf fontId="19" fillId="0" borderId="0" numFmtId="49" xfId="0" applyNumberFormat="1" applyFont="1" applyAlignment="1">
      <alignment horizontal="left"/>
    </xf>
    <xf fontId="19" fillId="0" borderId="0" numFmtId="177" xfId="0" applyNumberFormat="1" applyFont="1" applyAlignment="1">
      <alignment horizontal="left"/>
    </xf>
    <xf fontId="12" fillId="0" borderId="0" numFmtId="0" xfId="0" applyFont="1" applyAlignment="1">
      <alignment horizontal="right"/>
    </xf>
    <xf fontId="12" fillId="0" borderId="0" numFmtId="0" xfId="0" applyFont="1" applyAlignment="1">
      <alignment horizontal="centerContinuous"/>
    </xf>
    <xf fontId="12" fillId="0" borderId="0" numFmtId="169" xfId="0" applyNumberFormat="1" applyFont="1" applyAlignment="1">
      <alignment horizontal="centerContinuous"/>
    </xf>
    <xf fontId="17" fillId="0" borderId="0" numFmtId="37" xfId="0" applyNumberFormat="1" applyFont="1" applyAlignment="1">
      <alignment horizontal="centerContinuous" vertical="center"/>
    </xf>
    <xf fontId="17" fillId="0" borderId="12" numFmtId="37" xfId="0" applyNumberFormat="1" applyFont="1" applyBorder="1" applyAlignment="1">
      <alignment vertical="center"/>
    </xf>
    <xf fontId="19" fillId="5" borderId="13" numFmtId="175" xfId="9" applyNumberFormat="1" applyFont="1" applyFill="1" applyBorder="1" applyAlignment="1">
      <alignment horizontal="right"/>
    </xf>
    <xf fontId="12" fillId="0" borderId="0" numFmtId="167" xfId="0" applyNumberFormat="1" applyFont="1" applyAlignment="1">
      <alignment horizontal="left"/>
    </xf>
    <xf fontId="12" fillId="0" borderId="0" numFmtId="198" xfId="0" applyNumberFormat="1" applyFont="1" applyAlignment="1">
      <alignment horizontal="right"/>
    </xf>
    <xf fontId="12" fillId="5" borderId="0" numFmtId="198" xfId="0" applyNumberFormat="1" applyFont="1" applyFill="1" applyAlignment="1">
      <alignment horizontal="right"/>
    </xf>
    <xf fontId="12" fillId="0" borderId="0" numFmtId="199" xfId="0" applyNumberFormat="1" applyFont="1" applyAlignment="1">
      <alignment horizontal="right"/>
    </xf>
    <xf fontId="55" fillId="0" borderId="19" numFmtId="37" xfId="0" applyNumberFormat="1" applyFont="1" applyBorder="1" applyAlignment="1">
      <alignment vertical="center"/>
    </xf>
    <xf fontId="19" fillId="5" borderId="20" numFmtId="171" xfId="0" applyNumberFormat="1" applyFont="1" applyFill="1" applyBorder="1" applyAlignment="1">
      <alignment horizontal="right"/>
    </xf>
    <xf fontId="15" fillId="0" borderId="17" numFmtId="170" xfId="0" applyNumberFormat="1" applyFont="1" applyBorder="1"/>
    <xf fontId="19" fillId="5" borderId="30" numFmtId="188" xfId="0" applyNumberFormat="1" applyFont="1" applyFill="1" applyBorder="1" applyAlignment="1">
      <alignment horizontal="right"/>
    </xf>
    <xf fontId="19" fillId="5" borderId="31" numFmtId="188" xfId="0" applyNumberFormat="1" applyFont="1" applyFill="1" applyBorder="1" applyAlignment="1">
      <alignment horizontal="right"/>
    </xf>
    <xf fontId="56" fillId="0" borderId="0" numFmtId="175" xfId="9" applyNumberFormat="1" applyFont="1" applyAlignment="1">
      <alignment horizontal="right"/>
    </xf>
    <xf fontId="11" fillId="0" borderId="0" numFmtId="0" xfId="0" applyFont="1" applyAlignment="1">
      <alignment horizontal="right" vertical="center"/>
    </xf>
    <xf fontId="19" fillId="0" borderId="0" numFmtId="188" xfId="0" applyNumberFormat="1" applyFont="1" applyAlignment="1">
      <alignment horizontal="right"/>
    </xf>
    <xf fontId="11" fillId="0" borderId="19" numFmtId="168" xfId="0" applyNumberFormat="1" applyFont="1" applyBorder="1" applyAlignment="1">
      <alignment vertical="center"/>
    </xf>
    <xf fontId="12" fillId="0" borderId="19" numFmtId="167" xfId="0" applyNumberFormat="1" applyFont="1" applyBorder="1" applyAlignment="1">
      <alignment horizontal="right"/>
    </xf>
    <xf fontId="12" fillId="0" borderId="19" numFmtId="169" xfId="0" applyNumberFormat="1" applyFont="1" applyBorder="1" applyAlignment="1">
      <alignment horizontal="right"/>
    </xf>
    <xf fontId="12" fillId="0" borderId="19" numFmtId="198" xfId="0" applyNumberFormat="1" applyFont="1" applyBorder="1" applyAlignment="1">
      <alignment horizontal="right"/>
    </xf>
    <xf fontId="12" fillId="5" borderId="19" numFmtId="198" xfId="0" applyNumberFormat="1" applyFont="1" applyFill="1" applyBorder="1" applyAlignment="1">
      <alignment horizontal="right"/>
    </xf>
    <xf fontId="19" fillId="5" borderId="20" numFmtId="188" xfId="0" applyNumberFormat="1" applyFont="1" applyFill="1" applyBorder="1" applyAlignment="1">
      <alignment horizontal="right"/>
    </xf>
    <xf fontId="19" fillId="5" borderId="18" numFmtId="188" xfId="0" applyNumberFormat="1" applyFont="1" applyFill="1" applyBorder="1" applyAlignment="1">
      <alignment horizontal="right"/>
    </xf>
    <xf fontId="19" fillId="5" borderId="19" numFmtId="188" xfId="0" applyNumberFormat="1" applyFont="1" applyFill="1" applyBorder="1" applyAlignment="1">
      <alignment horizontal="right"/>
    </xf>
    <xf fontId="15" fillId="0" borderId="0" numFmtId="175" xfId="9" applyNumberFormat="1" applyFont="1" applyAlignment="1">
      <alignment horizontal="right"/>
    </xf>
    <xf fontId="12" fillId="5" borderId="0" numFmtId="199" xfId="0" applyNumberFormat="1" applyFont="1" applyFill="1" applyAlignment="1">
      <alignment horizontal="right"/>
    </xf>
    <xf fontId="12" fillId="5" borderId="11" numFmtId="169" xfId="0" applyNumberFormat="1" applyFont="1" applyFill="1" applyBorder="1" applyAlignment="1">
      <alignment horizontal="left"/>
    </xf>
    <xf fontId="19" fillId="5" borderId="12" numFmtId="174" xfId="0" applyNumberFormat="1" applyFont="1" applyFill="1" applyBorder="1" applyAlignment="1">
      <alignment horizontal="left"/>
    </xf>
    <xf fontId="19" fillId="0" borderId="13" numFmtId="169" xfId="0" applyNumberFormat="1" applyFont="1" applyBorder="1" applyAlignment="1">
      <alignment horizontal="left"/>
    </xf>
    <xf fontId="19" fillId="5" borderId="12" numFmtId="173" xfId="0" applyNumberFormat="1" applyFont="1" applyFill="1" applyBorder="1" applyAlignment="1">
      <alignment horizontal="right"/>
    </xf>
    <xf fontId="19" fillId="5" borderId="13" numFmtId="173" xfId="0" applyNumberFormat="1" applyFont="1" applyFill="1" applyBorder="1" applyAlignment="1">
      <alignment horizontal="right"/>
    </xf>
    <xf fontId="12" fillId="5" borderId="16" numFmtId="169" xfId="0" applyNumberFormat="1" applyFont="1" applyFill="1" applyBorder="1" applyAlignment="1">
      <alignment horizontal="left"/>
    </xf>
    <xf fontId="19" fillId="5" borderId="0" numFmtId="174" xfId="0" applyNumberFormat="1" applyFont="1" applyFill="1" applyAlignment="1">
      <alignment horizontal="left"/>
    </xf>
    <xf fontId="19" fillId="0" borderId="17" numFmtId="169" xfId="0" applyNumberFormat="1" applyFont="1" applyBorder="1" applyAlignment="1">
      <alignment horizontal="left"/>
    </xf>
    <xf fontId="19" fillId="5" borderId="0" numFmtId="173" xfId="0" applyNumberFormat="1" applyFont="1" applyFill="1" applyAlignment="1">
      <alignment horizontal="right"/>
    </xf>
    <xf fontId="19" fillId="5" borderId="17" numFmtId="173" xfId="0" applyNumberFormat="1" applyFont="1" applyFill="1" applyBorder="1" applyAlignment="1">
      <alignment horizontal="right"/>
    </xf>
    <xf fontId="12" fillId="5" borderId="18" numFmtId="169" xfId="0" applyNumberFormat="1" applyFont="1" applyFill="1" applyBorder="1" applyAlignment="1">
      <alignment horizontal="left"/>
    </xf>
    <xf fontId="19" fillId="0" borderId="20" numFmtId="169" xfId="0" applyNumberFormat="1" applyFont="1" applyBorder="1" applyAlignment="1">
      <alignment horizontal="left"/>
    </xf>
    <xf fontId="19" fillId="5" borderId="19" numFmtId="173" xfId="0" applyNumberFormat="1" applyFont="1" applyFill="1" applyBorder="1" applyAlignment="1">
      <alignment horizontal="right"/>
    </xf>
    <xf fontId="19" fillId="5" borderId="20" numFmtId="173" xfId="0" applyNumberFormat="1" applyFont="1" applyFill="1" applyBorder="1" applyAlignment="1">
      <alignment horizontal="right"/>
    </xf>
    <xf fontId="12" fillId="0" borderId="18" numFmtId="169" xfId="0" applyNumberFormat="1" applyFont="1" applyBorder="1" applyAlignment="1">
      <alignment horizontal="left"/>
    </xf>
    <xf fontId="19" fillId="5" borderId="12" numFmtId="170" xfId="0" applyNumberFormat="1" applyFont="1" applyFill="1" applyBorder="1" applyAlignment="1">
      <alignment horizontal="left"/>
    </xf>
    <xf fontId="19" fillId="5" borderId="13" numFmtId="170" xfId="0" applyNumberFormat="1" applyFont="1" applyFill="1" applyBorder="1" applyAlignment="1">
      <alignment horizontal="left"/>
    </xf>
    <xf fontId="19" fillId="5" borderId="12" numFmtId="171" xfId="0" applyNumberFormat="1" applyFont="1" applyFill="1" applyBorder="1" applyAlignment="1">
      <alignment horizontal="right"/>
    </xf>
    <xf fontId="19" fillId="5" borderId="13" numFmtId="171" xfId="0" applyNumberFormat="1" applyFont="1" applyFill="1" applyBorder="1" applyAlignment="1">
      <alignment horizontal="right"/>
    </xf>
    <xf fontId="19" fillId="5" borderId="0" numFmtId="170" xfId="0" applyNumberFormat="1" applyFont="1" applyFill="1" applyAlignment="1">
      <alignment horizontal="left"/>
    </xf>
    <xf fontId="19" fillId="5" borderId="17" numFmtId="170" xfId="0" applyNumberFormat="1" applyFont="1" applyFill="1" applyBorder="1" applyAlignment="1">
      <alignment horizontal="left"/>
    </xf>
    <xf fontId="19" fillId="5" borderId="17" numFmtId="171" xfId="0" applyNumberFormat="1" applyFont="1" applyFill="1" applyBorder="1" applyAlignment="1">
      <alignment horizontal="right"/>
    </xf>
    <xf fontId="19" fillId="5" borderId="19" numFmtId="170" xfId="0" applyNumberFormat="1" applyFont="1" applyFill="1" applyBorder="1" applyAlignment="1">
      <alignment horizontal="left"/>
    </xf>
    <xf fontId="19" fillId="5" borderId="20" numFmtId="170" xfId="0" applyNumberFormat="1" applyFont="1" applyFill="1" applyBorder="1" applyAlignment="1">
      <alignment horizontal="left"/>
    </xf>
    <xf fontId="19" fillId="5" borderId="9" numFmtId="171" xfId="0" applyNumberFormat="1" applyFont="1" applyFill="1" applyBorder="1" applyAlignment="1">
      <alignment vertical="center"/>
    </xf>
    <xf fontId="31" fillId="0" borderId="0" numFmtId="182" xfId="0" applyNumberFormat="1" applyFont="1" applyAlignment="1" quotePrefix="1">
      <alignment horizontal="right"/>
    </xf>
    <xf fontId="19" fillId="0" borderId="0" numFmtId="177" xfId="0" applyNumberFormat="1" applyFont="1" applyAlignment="1" quotePrefix="1">
      <alignment horizontal="right"/>
    </xf>
    <xf fontId="19" fillId="5" borderId="29" numFmtId="171" xfId="0" applyNumberFormat="1" applyFont="1" applyFill="1" applyBorder="1"/>
    <xf fontId="55" fillId="0" borderId="12" numFmtId="37" xfId="0" applyNumberFormat="1" applyFont="1" applyBorder="1" applyAlignment="1">
      <alignment vertical="center"/>
    </xf>
    <xf fontId="19" fillId="5" borderId="13" numFmtId="188" xfId="0" applyNumberFormat="1" applyFont="1" applyFill="1" applyBorder="1" applyAlignment="1">
      <alignment horizontal="right"/>
    </xf>
    <xf fontId="19" fillId="5" borderId="20" numFmtId="173" xfId="9" applyNumberFormat="1" applyFont="1" applyFill="1" applyBorder="1"/>
    <xf fontId="55" fillId="0" borderId="0" numFmtId="37" xfId="0" applyNumberFormat="1" applyFont="1" applyAlignment="1">
      <alignment vertical="center"/>
    </xf>
    <xf fontId="15" fillId="0" borderId="0" numFmtId="173" xfId="0" applyNumberFormat="1" applyFont="1" applyAlignment="1">
      <alignment horizontal="right"/>
    </xf>
    <xf fontId="19" fillId="0" borderId="0" numFmtId="200" xfId="0" applyNumberFormat="1" applyFont="1" applyAlignment="1">
      <alignment horizontal="left"/>
    </xf>
    <xf fontId="19" fillId="0" borderId="0" numFmtId="171" xfId="9" applyNumberFormat="1" applyFont="1"/>
    <xf fontId="19" fillId="0" borderId="19" numFmtId="171" xfId="0" applyNumberFormat="1" applyFont="1" applyBorder="1"/>
    <xf fontId="19" fillId="0" borderId="0" numFmtId="174" xfId="0" applyNumberFormat="1" applyFont="1"/>
    <xf fontId="17" fillId="0" borderId="19" numFmtId="37" xfId="0" applyNumberFormat="1" applyFont="1" applyBorder="1" applyAlignment="1">
      <alignment vertical="center"/>
    </xf>
    <xf fontId="12" fillId="5" borderId="32" numFmtId="167" xfId="0" applyNumberFormat="1" applyFont="1" applyFill="1" applyBorder="1" applyAlignment="1">
      <alignment horizontal="right" vertical="center"/>
    </xf>
    <xf fontId="12" fillId="0" borderId="32" numFmtId="167" xfId="0" applyNumberFormat="1" applyFont="1" applyBorder="1" applyAlignment="1">
      <alignment horizontal="right" vertical="center"/>
    </xf>
    <xf fontId="57" fillId="5" borderId="0" numFmtId="172" xfId="6" applyNumberFormat="1" applyFont="1" applyFill="1" applyAlignment="1" applyProtection="1">
      <alignment horizontal="center" vertical="center"/>
      <protection hidden="1"/>
    </xf>
    <xf fontId="12" fillId="0" borderId="0" numFmtId="0" xfId="7" applyFont="1" applyAlignment="1">
      <alignment horizontal="center"/>
    </xf>
    <xf fontId="19" fillId="5" borderId="40" numFmtId="201" xfId="0" applyNumberFormat="1" applyFont="1" applyFill="1" applyBorder="1" applyAlignment="1">
      <alignment horizontal="center"/>
    </xf>
    <xf fontId="19" fillId="5" borderId="9" numFmtId="171" xfId="0" applyNumberFormat="1" applyFont="1" applyFill="1" applyBorder="1" applyAlignment="1">
      <alignment horizontal="right" vertical="center"/>
    </xf>
    <xf fontId="19" fillId="0" borderId="19" numFmtId="0" xfId="0" applyFont="1" applyBorder="1" applyAlignment="1">
      <alignment horizontal="left" indent="1"/>
    </xf>
    <xf fontId="19" fillId="5" borderId="18" numFmtId="202" xfId="0" applyNumberFormat="1" applyFont="1" applyFill="1" applyBorder="1"/>
    <xf fontId="19" fillId="5" borderId="19" numFmtId="202" xfId="0" applyNumberFormat="1" applyFont="1" applyFill="1" applyBorder="1"/>
    <xf fontId="19" fillId="5" borderId="20" numFmtId="202" xfId="0" applyNumberFormat="1" applyFont="1" applyFill="1" applyBorder="1"/>
    <xf fontId="58" fillId="0" borderId="12" numFmtId="37" xfId="0" applyNumberFormat="1" applyFont="1" applyBorder="1" applyAlignment="1">
      <alignment vertical="center"/>
    </xf>
    <xf fontId="19" fillId="5" borderId="13" numFmtId="176" xfId="9" applyNumberFormat="1" applyFont="1" applyFill="1" applyBorder="1"/>
    <xf fontId="19" fillId="0" borderId="18" numFmtId="49" xfId="0" applyNumberFormat="1" applyFont="1" applyBorder="1" applyAlignment="1">
      <alignment horizontal="left"/>
    </xf>
    <xf fontId="19" fillId="5" borderId="20" numFmtId="203" xfId="0" applyNumberFormat="1" applyFont="1" applyFill="1" applyBorder="1" applyAlignment="1">
      <alignment horizontal="right"/>
    </xf>
    <xf fontId="59" fillId="0" borderId="0" numFmtId="171" xfId="0" applyNumberFormat="1" applyFont="1"/>
    <xf fontId="56" fillId="0" borderId="0" numFmtId="176" xfId="9" applyNumberFormat="1" applyFont="1"/>
    <xf fontId="58" fillId="0" borderId="19" numFmtId="37" xfId="0" applyNumberFormat="1" applyFont="1" applyBorder="1" applyAlignment="1">
      <alignment vertical="center"/>
    </xf>
    <xf fontId="19" fillId="0" borderId="0" numFmtId="173" xfId="9" applyNumberFormat="1" applyFont="1" applyAlignment="1">
      <alignment horizontal="right"/>
    </xf>
    <xf fontId="19" fillId="0" borderId="0" numFmtId="182" xfId="0" applyNumberFormat="1" applyFont="1" applyAlignment="1" quotePrefix="1">
      <alignment horizontal="right"/>
    </xf>
    <xf fontId="53" fillId="0" borderId="41" numFmtId="195" xfId="0" applyNumberFormat="1" applyFont="1" applyBorder="1"/>
    <xf fontId="19" fillId="0" borderId="16" numFmtId="0" xfId="0" applyFont="1" applyBorder="1" applyAlignment="1">
      <alignment horizontal="left"/>
    </xf>
    <xf fontId="19" fillId="0" borderId="0" numFmtId="167" xfId="0" applyNumberFormat="1" applyFont="1" applyAlignment="1">
      <alignment horizontal="right"/>
    </xf>
    <xf fontId="12" fillId="0" borderId="0" numFmtId="170" xfId="0" applyNumberFormat="1" applyFont="1"/>
    <xf fontId="15" fillId="0" borderId="0" numFmtId="174" xfId="0" applyNumberFormat="1" applyFont="1" applyAlignment="1">
      <alignment horizontal="right"/>
    </xf>
    <xf fontId="60" fillId="0" borderId="0" numFmtId="37" xfId="0" applyNumberFormat="1" applyFont="1" applyAlignment="1">
      <alignment vertical="center"/>
    </xf>
    <xf fontId="61" fillId="0" borderId="0" numFmtId="167" xfId="0" applyNumberFormat="1" applyFont="1" applyAlignment="1">
      <alignment horizontal="right"/>
    </xf>
    <xf fontId="32" fillId="0" borderId="0" numFmtId="170" xfId="0" applyNumberFormat="1" applyFont="1"/>
    <xf fontId="19" fillId="5" borderId="42" numFmtId="203" xfId="0" applyNumberFormat="1" applyFont="1" applyFill="1" applyBorder="1" applyAlignment="1">
      <alignment horizontal="right"/>
    </xf>
    <xf fontId="19" fillId="5" borderId="43" numFmtId="203" xfId="0" applyNumberFormat="1" applyFont="1" applyFill="1" applyBorder="1" applyAlignment="1">
      <alignment horizontal="right"/>
    </xf>
    <xf fontId="19" fillId="5" borderId="44" numFmtId="203" xfId="0" applyNumberFormat="1" applyFont="1" applyFill="1" applyBorder="1" applyAlignment="1">
      <alignment horizontal="right"/>
    </xf>
    <xf fontId="19" fillId="0" borderId="19" numFmtId="176" xfId="9" applyNumberFormat="1" applyFont="1" applyBorder="1"/>
    <xf fontId="62" fillId="0" borderId="45" numFmtId="171" xfId="0" applyNumberFormat="1" applyFont="1" applyBorder="1" applyAlignment="1">
      <alignment horizontal="center"/>
    </xf>
    <xf fontId="62" fillId="0" borderId="45" numFmtId="171" xfId="0" applyNumberFormat="1" applyFont="1" applyBorder="1" applyAlignment="1">
      <alignment horizontal="centerContinuous"/>
    </xf>
    <xf fontId="62" fillId="0" borderId="1" numFmtId="167" xfId="0" applyNumberFormat="1" applyFont="1" applyBorder="1" applyAlignment="1">
      <alignment horizontal="centerContinuous"/>
    </xf>
    <xf fontId="62" fillId="0" borderId="46" numFmtId="171" xfId="0" applyNumberFormat="1" applyFont="1" applyBorder="1" applyAlignment="1">
      <alignment horizontal="center"/>
    </xf>
    <xf fontId="57" fillId="0" borderId="45" numFmtId="0" xfId="0" applyFont="1" applyBorder="1" applyAlignment="1">
      <alignment horizontal="center"/>
    </xf>
    <xf fontId="57" fillId="0" borderId="1" numFmtId="0" xfId="0" applyFont="1" applyBorder="1" applyAlignment="1">
      <alignment horizontal="center"/>
    </xf>
    <xf fontId="57" fillId="0" borderId="46" numFmtId="0" xfId="0" applyFont="1" applyBorder="1" applyAlignment="1">
      <alignment horizontal="center"/>
    </xf>
    <xf fontId="19" fillId="5" borderId="13" numFmtId="173" xfId="9" applyNumberFormat="1" applyFont="1" applyFill="1" applyBorder="1" applyAlignment="1">
      <alignment horizontal="right"/>
    </xf>
    <xf fontId="62" fillId="0" borderId="0" numFmtId="171" xfId="0" applyNumberFormat="1" applyFont="1" applyAlignment="1">
      <alignment horizontal="left"/>
    </xf>
    <xf fontId="19" fillId="5" borderId="41" numFmtId="204" xfId="0" applyNumberFormat="1" applyFont="1" applyFill="1" applyBorder="1" applyAlignment="1">
      <alignment horizontal="center"/>
    </xf>
    <xf fontId="19" fillId="5" borderId="0" numFmtId="204" xfId="0" applyNumberFormat="1" applyFont="1" applyFill="1" applyAlignment="1">
      <alignment horizontal="center"/>
    </xf>
    <xf fontId="19" fillId="5" borderId="47" numFmtId="204" xfId="0" applyNumberFormat="1" applyFont="1" applyFill="1" applyBorder="1" applyAlignment="1">
      <alignment horizontal="center"/>
    </xf>
    <xf fontId="19" fillId="5" borderId="20" numFmtId="173" xfId="9" applyNumberFormat="1" applyFont="1" applyFill="1" applyBorder="1" applyAlignment="1">
      <alignment horizontal="right"/>
    </xf>
    <xf fontId="19" fillId="5" borderId="48" numFmtId="204" xfId="0" applyNumberFormat="1" applyFont="1" applyFill="1" applyBorder="1" applyAlignment="1">
      <alignment horizontal="center"/>
    </xf>
    <xf fontId="9" fillId="0" borderId="33" numFmtId="167" xfId="0" applyNumberFormat="1" applyFont="1" applyBorder="1" applyAlignment="1">
      <alignment horizontal="right"/>
    </xf>
    <xf fontId="19" fillId="0" borderId="29" numFmtId="171" xfId="0" applyNumberFormat="1" applyFont="1" applyBorder="1"/>
    <xf fontId="63" fillId="0" borderId="0" numFmtId="205" xfId="9" applyNumberFormat="1" applyFont="1" applyAlignment="1">
      <alignment horizontal="right"/>
    </xf>
    <xf fontId="19" fillId="5" borderId="0" numFmtId="173" xfId="2" applyNumberFormat="1" applyFont="1" applyFill="1" applyAlignment="1">
      <alignment horizontal="right"/>
    </xf>
    <xf fontId="19" fillId="0" borderId="0" numFmtId="173" xfId="2" applyNumberFormat="1" applyFont="1" applyAlignment="1">
      <alignment horizontal="right"/>
    </xf>
    <xf fontId="19" fillId="5" borderId="0" numFmtId="175" xfId="0" applyNumberFormat="1" applyFont="1" applyFill="1"/>
    <xf fontId="6" fillId="0" borderId="0" numFmtId="0" xfId="0" applyFont="1" applyAlignment="1">
      <alignment horizontal="center"/>
    </xf>
    <xf fontId="19" fillId="0" borderId="11" numFmtId="0" xfId="0" applyFont="1" applyBorder="1" applyAlignment="1">
      <alignment horizontal="left" indent="1"/>
    </xf>
    <xf fontId="6" fillId="0" borderId="12" numFmtId="0" xfId="0" applyFont="1" applyBorder="1"/>
    <xf fontId="19" fillId="5" borderId="13" numFmtId="9" xfId="0" applyNumberFormat="1" applyFont="1" applyFill="1" applyBorder="1"/>
    <xf fontId="19" fillId="0" borderId="18" numFmtId="0" xfId="0" applyFont="1" applyBorder="1" applyAlignment="1">
      <alignment horizontal="left" indent="1"/>
    </xf>
    <xf fontId="19" fillId="0" borderId="16" numFmtId="0" xfId="0" applyFont="1" applyBorder="1" applyAlignment="1">
      <alignment horizontal="left" indent="1"/>
    </xf>
    <xf fontId="42" fillId="0" borderId="0" numFmtId="0" xfId="0" applyFont="1" applyAlignment="1" quotePrefix="1">
      <alignment horizontal="right"/>
    </xf>
    <xf fontId="42" fillId="0" borderId="0" numFmtId="0" xfId="0" applyFont="1" applyAlignment="1">
      <alignment horizontal="right"/>
    </xf>
    <xf fontId="19" fillId="5" borderId="13" numFmtId="175" xfId="0" applyNumberFormat="1" applyFont="1" applyFill="1" applyBorder="1"/>
    <xf fontId="19" fillId="5" borderId="13" numFmtId="178" xfId="9" applyNumberFormat="1" applyFont="1" applyFill="1" applyBorder="1" applyAlignment="1">
      <alignment horizontal="right"/>
    </xf>
    <xf fontId="15" fillId="0" borderId="11" numFmtId="171" xfId="0" applyNumberFormat="1" applyFont="1" applyBorder="1"/>
    <xf fontId="19" fillId="5" borderId="49" numFmtId="171" xfId="0" applyNumberFormat="1" applyFont="1" applyFill="1" applyBorder="1"/>
    <xf fontId="15" fillId="0" borderId="18" numFmtId="171" xfId="0" applyNumberFormat="1" applyFont="1" applyBorder="1"/>
    <xf fontId="15" fillId="0" borderId="19" numFmtId="171" xfId="0" applyNumberFormat="1" applyFont="1" applyBorder="1"/>
    <xf fontId="19" fillId="5" borderId="37" numFmtId="171" xfId="0" applyNumberFormat="1" applyFont="1" applyFill="1" applyBorder="1"/>
    <xf fontId="62" fillId="0" borderId="49" numFmtId="171" xfId="0" applyNumberFormat="1" applyFont="1" applyBorder="1" applyAlignment="1">
      <alignment horizontal="center"/>
    </xf>
    <xf fontId="62" fillId="0" borderId="36" numFmtId="171" xfId="0" applyNumberFormat="1" applyFont="1" applyBorder="1" applyAlignment="1">
      <alignment horizontal="center"/>
    </xf>
    <xf fontId="19" fillId="5" borderId="40" numFmtId="175" xfId="2" applyNumberFormat="1" applyFont="1" applyFill="1" applyBorder="1" applyAlignment="1">
      <alignment horizontal="center"/>
    </xf>
    <xf fontId="32" fillId="5" borderId="12" numFmtId="188" xfId="0" applyNumberFormat="1" applyFont="1" applyFill="1" applyBorder="1" applyAlignment="1">
      <alignment horizontal="right"/>
    </xf>
    <xf fontId="32" fillId="5" borderId="19" numFmtId="188" xfId="0" applyNumberFormat="1" applyFont="1" applyFill="1" applyBorder="1" applyAlignment="1">
      <alignment horizontal="right"/>
    </xf>
    <xf fontId="5" fillId="0" borderId="12" numFmtId="0" xfId="0" applyFont="1" applyBorder="1"/>
    <xf fontId="42" fillId="0" borderId="19" numFmtId="0" xfId="0" applyFont="1" applyBorder="1" applyAlignment="1">
      <alignment horizontal="right"/>
    </xf>
    <xf fontId="19" fillId="5" borderId="20" numFmtId="175" xfId="0" applyNumberFormat="1" applyFont="1" applyFill="1" applyBorder="1"/>
    <xf fontId="14" fillId="6" borderId="0" numFmtId="37" xfId="0" applyNumberFormat="1" applyFont="1" applyFill="1" applyAlignment="1">
      <alignment vertical="center"/>
    </xf>
    <xf fontId="11" fillId="6" borderId="0" numFmtId="196" xfId="0" applyNumberFormat="1" applyFont="1" applyFill="1" applyAlignment="1">
      <alignment horizontal="centerContinuous"/>
    </xf>
    <xf fontId="12" fillId="6" borderId="0" numFmtId="196" xfId="0" applyNumberFormat="1" applyFont="1" applyFill="1" applyAlignment="1">
      <alignment horizontal="centerContinuous"/>
    </xf>
    <xf fontId="5" fillId="0" borderId="0" numFmtId="0" xfId="0" applyFont="1" applyAlignment="1">
      <alignment horizontal="left" indent="1"/>
    </xf>
    <xf fontId="5" fillId="0" borderId="0" numFmtId="171" xfId="0" applyNumberFormat="1" applyFont="1"/>
    <xf fontId="5" fillId="0" borderId="0" numFmtId="171" xfId="0" applyNumberFormat="1" applyFont="1" applyAlignment="1">
      <alignment vertical="center"/>
    </xf>
    <xf fontId="14" fillId="0" borderId="0" numFmtId="171" xfId="0" applyNumberFormat="1" applyFont="1"/>
    <xf fontId="14" fillId="0" borderId="0" numFmtId="171" xfId="0" applyNumberFormat="1" applyFont="1" applyAlignment="1">
      <alignment vertical="center"/>
    </xf>
    <xf fontId="14" fillId="0" borderId="0" numFmtId="0" xfId="0" applyFont="1" applyAlignment="1">
      <alignment horizontal="left" indent="1"/>
    </xf>
    <xf fontId="19" fillId="5" borderId="0" numFmtId="171" xfId="0" applyNumberFormat="1" applyFont="1" applyFill="1" applyAlignment="1">
      <alignment vertical="center"/>
    </xf>
    <xf fontId="19" fillId="0" borderId="0" numFmtId="188" xfId="0" applyNumberFormat="1" applyFont="1" applyAlignment="1">
      <alignment vertical="center"/>
    </xf>
    <xf fontId="19" fillId="5" borderId="0" numFmtId="188" xfId="0" applyNumberFormat="1" applyFont="1" applyFill="1" applyAlignment="1">
      <alignment vertical="center"/>
    </xf>
    <xf fontId="19" fillId="0" borderId="50" numFmtId="171" xfId="0" applyNumberFormat="1" applyFont="1" applyBorder="1" applyAlignment="1">
      <alignment vertical="center"/>
    </xf>
    <xf fontId="19" fillId="0" borderId="51" numFmtId="171" xfId="0" applyNumberFormat="1" applyFont="1" applyBorder="1" applyAlignment="1">
      <alignment vertical="center"/>
    </xf>
    <xf fontId="19" fillId="0" borderId="52" numFmtId="171" xfId="0" applyNumberFormat="1" applyFont="1" applyBorder="1" applyAlignment="1">
      <alignment vertical="center"/>
    </xf>
    <xf fontId="19" fillId="0" borderId="53" numFmtId="171" xfId="0" applyNumberFormat="1" applyFont="1" applyBorder="1" applyAlignment="1">
      <alignment vertical="center"/>
    </xf>
    <xf fontId="19" fillId="0" borderId="54" numFmtId="171" xfId="0" applyNumberFormat="1" applyFont="1" applyBorder="1" applyAlignment="1">
      <alignment vertical="center"/>
    </xf>
    <xf fontId="19" fillId="0" borderId="55" numFmtId="171" xfId="0" applyNumberFormat="1" applyFont="1" applyBorder="1" applyAlignment="1">
      <alignment vertical="center"/>
    </xf>
    <xf fontId="5" fillId="0" borderId="19" numFmtId="0" xfId="0" applyFont="1" applyBorder="1" applyAlignment="1">
      <alignment horizontal="left" indent="1"/>
    </xf>
    <xf fontId="5" fillId="0" borderId="19" numFmtId="171" xfId="0" applyNumberFormat="1" applyFont="1" applyBorder="1"/>
    <xf fontId="5" fillId="0" borderId="19" numFmtId="171" xfId="0" applyNumberFormat="1" applyFont="1" applyBorder="1" applyAlignment="1">
      <alignment vertical="center"/>
    </xf>
    <xf fontId="31" fillId="0" borderId="0" numFmtId="168" xfId="0" applyNumberFormat="1" applyFont="1" applyAlignment="1">
      <alignment vertical="center"/>
    </xf>
    <xf fontId="12" fillId="0" borderId="0" numFmtId="167" xfId="0" applyNumberFormat="1" applyFont="1" applyAlignment="1">
      <alignment horizontal="right" vertical="center"/>
    </xf>
    <xf fontId="12" fillId="0" borderId="0" numFmtId="169" xfId="0" applyNumberFormat="1" applyFont="1" applyAlignment="1">
      <alignment horizontal="right" vertical="center"/>
    </xf>
    <xf fontId="19" fillId="5" borderId="0" numFmtId="170" xfId="0" applyNumberFormat="1" applyFont="1" applyFill="1" applyAlignment="1">
      <alignment vertical="center"/>
    </xf>
    <xf fontId="19" fillId="5" borderId="9" numFmtId="170" xfId="0" applyNumberFormat="1" applyFont="1" applyFill="1" applyBorder="1" applyAlignment="1">
      <alignment vertical="center"/>
    </xf>
    <xf fontId="19" fillId="0" borderId="0" numFmtId="170" xfId="0" applyNumberFormat="1" applyFont="1" applyAlignment="1">
      <alignment vertical="center"/>
    </xf>
    <xf fontId="14" fillId="0" borderId="0" numFmtId="170" xfId="0" applyNumberFormat="1" applyFont="1"/>
    <xf fontId="14" fillId="0" borderId="19" numFmtId="0" xfId="0" applyFont="1" applyBorder="1"/>
    <xf fontId="12" fillId="0" borderId="19" numFmtId="167" xfId="0" applyNumberFormat="1" applyFont="1" applyBorder="1" applyAlignment="1">
      <alignment horizontal="right" vertical="center"/>
    </xf>
    <xf fontId="14" fillId="0" borderId="19" numFmtId="170" xfId="0" applyNumberFormat="1" applyFont="1" applyBorder="1" applyAlignment="1">
      <alignment vertical="center"/>
    </xf>
    <xf fontId="19" fillId="5" borderId="13" numFmtId="173" xfId="0" applyNumberFormat="1" applyFont="1" applyFill="1" applyBorder="1"/>
    <xf fontId="19" fillId="5" borderId="20" numFmtId="173" xfId="0" applyNumberFormat="1" applyFont="1" applyFill="1" applyBorder="1"/>
    <xf fontId="12" fillId="5" borderId="0" numFmtId="171" xfId="0" applyNumberFormat="1" applyFont="1" applyFill="1"/>
    <xf fontId="12" fillId="0" borderId="19" numFmtId="0" xfId="0" applyFont="1" applyBorder="1" applyAlignment="1">
      <alignment horizontal="left" indent="1"/>
    </xf>
    <xf fontId="19" fillId="0" borderId="19" numFmtId="173" xfId="9" applyNumberFormat="1" applyFont="1" applyBorder="1" applyAlignment="1">
      <alignment horizontal="right" vertical="center"/>
    </xf>
    <xf fontId="14" fillId="0" borderId="19" numFmtId="171" xfId="0" applyNumberFormat="1" applyFont="1" applyBorder="1"/>
    <xf fontId="14" fillId="0" borderId="0" numFmtId="37" xfId="0" applyNumberFormat="1" applyFont="1" applyAlignment="1">
      <alignment vertical="center"/>
    </xf>
    <xf fontId="11" fillId="0" borderId="0" numFmtId="196" xfId="0" applyNumberFormat="1" applyFont="1" applyAlignment="1">
      <alignment horizontal="centerContinuous"/>
    </xf>
    <xf fontId="12" fillId="0" borderId="0" numFmtId="196" xfId="0" applyNumberFormat="1" applyFont="1" applyAlignment="1">
      <alignment horizontal="centerContinuous"/>
    </xf>
    <xf fontId="15" fillId="0" borderId="0" numFmtId="178" xfId="9" applyNumberFormat="1" applyFont="1" applyAlignment="1">
      <alignment horizontal="right" vertical="center"/>
    </xf>
    <xf fontId="31" fillId="0" borderId="0" numFmtId="173" xfId="9" applyNumberFormat="1" applyFont="1" applyAlignment="1">
      <alignment horizontal="right" vertical="center"/>
    </xf>
    <xf fontId="16" fillId="0" borderId="0" numFmtId="0" xfId="0" applyFont="1" applyAlignment="1">
      <alignment horizontal="left" indent="1"/>
    </xf>
    <xf fontId="16" fillId="0" borderId="0" numFmtId="171" xfId="0" applyNumberFormat="1" applyFont="1" applyAlignment="1">
      <alignment vertical="center"/>
    </xf>
    <xf fontId="12" fillId="5" borderId="12" numFmtId="171" xfId="0" applyNumberFormat="1" applyFont="1" applyFill="1" applyBorder="1" applyAlignment="1">
      <alignment vertical="center"/>
    </xf>
    <xf fontId="64" fillId="0" borderId="0" numFmtId="0" xfId="0" applyFont="1"/>
    <xf fontId="19" fillId="5" borderId="12" numFmtId="171" xfId="0" applyNumberFormat="1" applyFont="1" applyFill="1" applyBorder="1" applyAlignment="1">
      <alignment vertical="center"/>
    </xf>
    <xf fontId="14" fillId="0" borderId="29" numFmtId="0" xfId="0" applyFont="1" applyBorder="1" applyAlignment="1">
      <alignment horizontal="left" indent="1"/>
    </xf>
    <xf fontId="19" fillId="5" borderId="31" numFmtId="173" xfId="0" applyNumberFormat="1" applyFont="1" applyFill="1" applyBorder="1"/>
    <xf fontId="14" fillId="0" borderId="0" numFmtId="176" xfId="0" applyNumberFormat="1" applyFont="1"/>
    <xf fontId="19" fillId="5" borderId="19" numFmtId="206" xfId="0" applyNumberFormat="1" applyFont="1" applyFill="1" applyBorder="1" applyAlignment="1">
      <alignment vertical="center"/>
    </xf>
    <xf fontId="14" fillId="0" borderId="11" numFmtId="0" xfId="0" applyFont="1" applyBorder="1"/>
    <xf fontId="14" fillId="0" borderId="16" numFmtId="0" xfId="0" applyFont="1" applyBorder="1"/>
    <xf fontId="14" fillId="0" borderId="17" numFmtId="171" xfId="0" applyNumberFormat="1" applyFont="1" applyBorder="1"/>
    <xf fontId="21" fillId="0" borderId="16" numFmtId="0" xfId="0" applyFont="1" applyBorder="1"/>
    <xf fontId="32" fillId="5" borderId="17" numFmtId="173" xfId="0" applyNumberFormat="1" applyFont="1" applyFill="1" applyBorder="1"/>
    <xf fontId="5" fillId="0" borderId="0" numFmtId="10" xfId="0" applyNumberFormat="1" applyFont="1"/>
    <xf fontId="5" fillId="0" borderId="16" numFmtId="0" xfId="0" applyFont="1" applyBorder="1"/>
    <xf fontId="5" fillId="0" borderId="17" numFmtId="0" xfId="0" applyFont="1" applyBorder="1"/>
    <xf fontId="15" fillId="0" borderId="17" numFmtId="171" xfId="0" applyNumberFormat="1" applyFont="1" applyBorder="1"/>
    <xf fontId="19" fillId="5" borderId="17" numFmtId="171" xfId="0" applyNumberFormat="1" applyFont="1" applyFill="1" applyBorder="1" applyAlignment="1">
      <alignment vertical="center"/>
    </xf>
    <xf fontId="19" fillId="5" borderId="17" numFmtId="175" xfId="0" applyNumberFormat="1" applyFont="1" applyFill="1" applyBorder="1"/>
    <xf fontId="21" fillId="0" borderId="16" numFmtId="49" xfId="0" applyNumberFormat="1" applyFont="1" applyBorder="1"/>
    <xf fontId="34" fillId="0" borderId="0" numFmtId="171" xfId="0" applyNumberFormat="1" applyFont="1" applyAlignment="1">
      <alignment vertical="center"/>
    </xf>
    <xf fontId="32" fillId="5" borderId="17" numFmtId="178" xfId="0" applyNumberFormat="1" applyFont="1" applyFill="1" applyBorder="1" applyAlignment="1">
      <alignment vertical="center"/>
    </xf>
    <xf fontId="15" fillId="0" borderId="17" numFmtId="175" xfId="0" applyNumberFormat="1" applyFont="1" applyBorder="1"/>
    <xf fontId="21" fillId="0" borderId="18" numFmtId="49" xfId="0" applyNumberFormat="1" applyFont="1" applyBorder="1"/>
    <xf fontId="32" fillId="5" borderId="20" numFmtId="178" xfId="0" applyNumberFormat="1" applyFont="1" applyFill="1" applyBorder="1" applyAlignment="1">
      <alignment vertical="center"/>
    </xf>
    <xf fontId="21" fillId="0" borderId="18" numFmtId="0" xfId="0" applyFont="1" applyBorder="1" applyAlignment="1">
      <alignment horizontal="left" indent="1"/>
    </xf>
    <xf fontId="34" fillId="0" borderId="19" numFmtId="0" xfId="0" applyFont="1" applyBorder="1"/>
    <xf fontId="32" fillId="5" borderId="20" numFmtId="188" xfId="0" applyNumberFormat="1" applyFont="1" applyFill="1" applyBorder="1"/>
    <xf fontId="14" fillId="0" borderId="0" numFmtId="177" xfId="0" applyNumberFormat="1" applyFont="1" applyAlignment="1">
      <alignment horizontal="right"/>
    </xf>
    <xf fontId="14" fillId="0" borderId="0" numFmtId="182" xfId="0" applyNumberFormat="1" applyFont="1" applyAlignment="1">
      <alignment horizontal="right"/>
    </xf>
    <xf fontId="57" fillId="0" borderId="56" numFmtId="0" xfId="0" applyFont="1" applyBorder="1" applyAlignment="1">
      <alignment horizontal="center"/>
    </xf>
    <xf fontId="15" fillId="0" borderId="41" numFmtId="204" xfId="0" applyNumberFormat="1" applyFont="1" applyBorder="1" applyAlignment="1">
      <alignment horizontal="center"/>
    </xf>
    <xf fontId="19" fillId="5" borderId="57" numFmtId="204" xfId="0" applyNumberFormat="1" applyFont="1" applyFill="1" applyBorder="1" applyAlignment="1">
      <alignment horizontal="center"/>
    </xf>
    <xf fontId="19" fillId="5" borderId="58" numFmtId="204" xfId="0" applyNumberFormat="1" applyFont="1" applyFill="1" applyBorder="1" applyAlignment="1">
      <alignment horizontal="center"/>
    </xf>
    <xf fontId="15" fillId="0" borderId="58" numFmtId="204" xfId="0" applyNumberFormat="1" applyFont="1" applyBorder="1" applyAlignment="1">
      <alignment horizontal="center"/>
    </xf>
    <xf fontId="19" fillId="5" borderId="32" numFmtId="204" xfId="0" applyNumberFormat="1" applyFont="1" applyFill="1" applyBorder="1" applyAlignment="1">
      <alignment horizontal="center"/>
    </xf>
    <xf fontId="19" fillId="5" borderId="19" numFmtId="206" xfId="0" applyNumberFormat="1" applyFont="1" applyFill="1" applyBorder="1"/>
    <xf fontId="19" fillId="5" borderId="40" numFmtId="175" xfId="0" applyNumberFormat="1" applyFont="1" applyFill="1" applyBorder="1"/>
    <xf fontId="14" fillId="0" borderId="0" numFmtId="49" xfId="0" applyNumberFormat="1" applyFont="1" applyAlignment="1">
      <alignment horizontal="right"/>
    </xf>
    <xf fontId="14" fillId="0" borderId="19" numFmtId="182" xfId="0" applyNumberFormat="1" applyFont="1" applyBorder="1" applyAlignment="1">
      <alignment horizontal="right"/>
    </xf>
    <xf fontId="19" fillId="5" borderId="40" numFmtId="176" xfId="0" applyNumberFormat="1" applyFont="1" applyFill="1" applyBorder="1"/>
    <xf fontId="14" fillId="0" borderId="19" numFmtId="177" xfId="0" applyNumberFormat="1" applyFont="1" applyBorder="1" applyAlignment="1">
      <alignment horizontal="right"/>
    </xf>
    <xf fontId="12" fillId="0" borderId="35" numFmtId="0" xfId="0" applyFont="1" applyBorder="1" applyAlignment="1">
      <alignment horizontal="centerContinuous" vertical="center"/>
    </xf>
    <xf fontId="6" fillId="0" borderId="35" numFmtId="0" xfId="0" applyFont="1" applyBorder="1" applyAlignment="1">
      <alignment horizontal="centerContinuous"/>
    </xf>
    <xf fontId="14" fillId="0" borderId="0" numFmtId="0" xfId="0" applyFont="1" applyAlignment="1">
      <alignment horizontal="centerContinuous"/>
    </xf>
    <xf fontId="19" fillId="5" borderId="22" numFmtId="173" xfId="0" applyNumberFormat="1" applyFont="1" applyFill="1" applyBorder="1"/>
    <xf fontId="15" fillId="0" borderId="22" numFmtId="173" xfId="0" applyNumberFormat="1" applyFont="1" applyBorder="1"/>
    <xf fontId="14" fillId="0" borderId="0" numFmtId="0" xfId="0" applyFont="1" applyAlignment="1">
      <alignment horizontal="right" textRotation="90" vertical="center"/>
    </xf>
    <xf fontId="19" fillId="5" borderId="15" numFmtId="173" xfId="0" applyNumberFormat="1" applyFont="1" applyFill="1" applyBorder="1"/>
    <xf fontId="14" fillId="0" borderId="14" numFmtId="175" xfId="0" applyNumberFormat="1" applyFont="1" applyBorder="1"/>
    <xf fontId="14" fillId="0" borderId="0" numFmtId="175" xfId="0" applyNumberFormat="1" applyFont="1"/>
    <xf fontId="15" fillId="0" borderId="15" numFmtId="173" xfId="0" applyNumberFormat="1" applyFont="1" applyBorder="1"/>
    <xf fontId="14" fillId="0" borderId="40" numFmtId="175" xfId="0" applyNumberFormat="1" applyFont="1" applyBorder="1"/>
    <xf fontId="19" fillId="5" borderId="22" numFmtId="178" xfId="0" applyNumberFormat="1" applyFont="1" applyFill="1" applyBorder="1"/>
    <xf fontId="15" fillId="0" borderId="22" numFmtId="178" xfId="0" applyNumberFormat="1" applyFont="1" applyBorder="1"/>
    <xf fontId="65" fillId="7" borderId="0" numFmtId="172" xfId="6" applyNumberFormat="1" applyFont="1" applyFill="1" applyAlignment="1" applyProtection="1">
      <alignment horizontal="center" vertical="center"/>
      <protection hidden="1"/>
    </xf>
    <xf fontId="10" fillId="4" borderId="0" numFmtId="170" xfId="0" applyNumberFormat="1" applyFont="1" applyFill="1" applyAlignment="1">
      <alignment horizontal="center"/>
    </xf>
    <xf fontId="10" fillId="7" borderId="0" numFmtId="0" xfId="0" applyFont="1" applyFill="1" applyAlignment="1">
      <alignment horizontal="center" vertical="center"/>
    </xf>
    <xf fontId="19" fillId="0" borderId="0" numFmtId="171" xfId="2" applyNumberFormat="1" applyFont="1" applyAlignment="1">
      <alignment horizontal="right" vertical="center"/>
    </xf>
    <xf fontId="66" fillId="4" borderId="0" numFmtId="170" xfId="0" applyNumberFormat="1" applyFont="1" applyFill="1" applyAlignment="1">
      <alignment horizontal="right"/>
    </xf>
    <xf fontId="19" fillId="4" borderId="11" numFmtId="171" xfId="2" applyNumberFormat="1" applyFont="1" applyFill="1" applyBorder="1" applyAlignment="1">
      <alignment vertical="center"/>
    </xf>
    <xf fontId="19" fillId="4" borderId="12" numFmtId="171" xfId="2" applyNumberFormat="1" applyFont="1" applyFill="1" applyBorder="1" applyAlignment="1">
      <alignment vertical="center"/>
    </xf>
    <xf fontId="19" fillId="4" borderId="13" numFmtId="171" xfId="2" applyNumberFormat="1" applyFont="1" applyFill="1" applyBorder="1" applyAlignment="1">
      <alignment vertical="center"/>
    </xf>
    <xf fontId="19" fillId="4" borderId="11" numFmtId="175" xfId="2" applyNumberFormat="1" applyFont="1" applyFill="1" applyBorder="1" applyAlignment="1">
      <alignment vertical="center"/>
    </xf>
    <xf fontId="19" fillId="4" borderId="12" numFmtId="175" xfId="2" applyNumberFormat="1" applyFont="1" applyFill="1" applyBorder="1" applyAlignment="1">
      <alignment vertical="center"/>
    </xf>
    <xf fontId="19" fillId="4" borderId="13" numFmtId="175" xfId="2" applyNumberFormat="1" applyFont="1" applyFill="1" applyBorder="1" applyAlignment="1">
      <alignment vertical="center"/>
    </xf>
    <xf fontId="19" fillId="4" borderId="16" numFmtId="171" xfId="2" applyNumberFormat="1" applyFont="1" applyFill="1" applyBorder="1" applyAlignment="1">
      <alignment vertical="center"/>
    </xf>
    <xf fontId="19" fillId="4" borderId="0" numFmtId="171" xfId="2" applyNumberFormat="1" applyFont="1" applyFill="1" applyAlignment="1">
      <alignment vertical="center"/>
    </xf>
    <xf fontId="19" fillId="4" borderId="17" numFmtId="171" xfId="2" applyNumberFormat="1" applyFont="1" applyFill="1" applyBorder="1" applyAlignment="1">
      <alignment vertical="center"/>
    </xf>
    <xf fontId="19" fillId="4" borderId="16" numFmtId="175" xfId="2" applyNumberFormat="1" applyFont="1" applyFill="1" applyBorder="1" applyAlignment="1">
      <alignment vertical="center"/>
    </xf>
    <xf fontId="19" fillId="4" borderId="0" numFmtId="175" xfId="2" applyNumberFormat="1" applyFont="1" applyFill="1" applyAlignment="1">
      <alignment vertical="center"/>
    </xf>
    <xf fontId="19" fillId="4" borderId="17" numFmtId="175" xfId="2" applyNumberFormat="1" applyFont="1" applyFill="1" applyBorder="1" applyAlignment="1">
      <alignment vertical="center"/>
    </xf>
    <xf fontId="12" fillId="4" borderId="24" numFmtId="171" xfId="2" applyNumberFormat="1" applyFont="1" applyFill="1" applyBorder="1" applyAlignment="1">
      <alignment vertical="center"/>
    </xf>
    <xf fontId="12" fillId="4" borderId="24" numFmtId="175" xfId="2" applyNumberFormat="1" applyFont="1" applyFill="1" applyBorder="1" applyAlignment="1">
      <alignment vertical="center"/>
    </xf>
    <xf fontId="19" fillId="4" borderId="18" numFmtId="171" xfId="2" applyNumberFormat="1" applyFont="1" applyFill="1" applyBorder="1" applyAlignment="1">
      <alignment vertical="center"/>
    </xf>
    <xf fontId="19" fillId="4" borderId="19" numFmtId="171" xfId="2" applyNumberFormat="1" applyFont="1" applyFill="1" applyBorder="1" applyAlignment="1">
      <alignment vertical="center"/>
    </xf>
    <xf fontId="19" fillId="4" borderId="20" numFmtId="171" xfId="2" applyNumberFormat="1" applyFont="1" applyFill="1" applyBorder="1" applyAlignment="1">
      <alignment vertical="center"/>
    </xf>
    <xf fontId="19" fillId="4" borderId="18" numFmtId="175" xfId="2" applyNumberFormat="1" applyFont="1" applyFill="1" applyBorder="1" applyAlignment="1">
      <alignment vertical="center"/>
    </xf>
    <xf fontId="19" fillId="4" borderId="19" numFmtId="175" xfId="2" applyNumberFormat="1" applyFont="1" applyFill="1" applyBorder="1" applyAlignment="1">
      <alignment vertical="center"/>
    </xf>
    <xf fontId="19" fillId="4" borderId="20" numFmtId="175" xfId="2" applyNumberFormat="1" applyFont="1" applyFill="1" applyBorder="1" applyAlignment="1">
      <alignment vertical="center"/>
    </xf>
    <xf fontId="20" fillId="0" borderId="0" numFmtId="172" xfId="6" applyNumberFormat="1" applyFont="1" applyAlignment="1" applyProtection="1">
      <alignment horizontal="right" vertical="center"/>
      <protection hidden="1"/>
    </xf>
    <xf fontId="19" fillId="4" borderId="11" numFmtId="173" xfId="2" applyNumberFormat="1" applyFont="1" applyFill="1" applyBorder="1" applyAlignment="1">
      <alignment horizontal="right" vertical="center"/>
    </xf>
    <xf fontId="19" fillId="4" borderId="12" numFmtId="173" xfId="2" applyNumberFormat="1" applyFont="1" applyFill="1" applyBorder="1" applyAlignment="1">
      <alignment horizontal="right" vertical="center"/>
    </xf>
    <xf fontId="19" fillId="4" borderId="13" numFmtId="173" xfId="2" applyNumberFormat="1" applyFont="1" applyFill="1" applyBorder="1" applyAlignment="1">
      <alignment horizontal="right" vertical="center"/>
    </xf>
    <xf fontId="19" fillId="4" borderId="16" numFmtId="173" xfId="2" applyNumberFormat="1" applyFont="1" applyFill="1" applyBorder="1" applyAlignment="1">
      <alignment horizontal="right" vertical="center"/>
    </xf>
    <xf fontId="19" fillId="4" borderId="0" numFmtId="173" xfId="2" applyNumberFormat="1" applyFont="1" applyFill="1" applyAlignment="1">
      <alignment horizontal="right" vertical="center"/>
    </xf>
    <xf fontId="19" fillId="4" borderId="17" numFmtId="173" xfId="2" applyNumberFormat="1" applyFont="1" applyFill="1" applyBorder="1" applyAlignment="1">
      <alignment horizontal="right" vertical="center"/>
    </xf>
    <xf fontId="12" fillId="4" borderId="24" numFmtId="173" xfId="2" applyNumberFormat="1" applyFont="1" applyFill="1" applyBorder="1" applyAlignment="1">
      <alignment horizontal="right" vertical="center"/>
    </xf>
    <xf fontId="19" fillId="4" borderId="18" numFmtId="173" xfId="2" applyNumberFormat="1" applyFont="1" applyFill="1" applyBorder="1" applyAlignment="1">
      <alignment horizontal="right" vertical="center"/>
    </xf>
    <xf fontId="19" fillId="4" borderId="19" numFmtId="173" xfId="2" applyNumberFormat="1" applyFont="1" applyFill="1" applyBorder="1" applyAlignment="1">
      <alignment horizontal="right" vertical="center"/>
    </xf>
    <xf fontId="19" fillId="4" borderId="20" numFmtId="173" xfId="2" applyNumberFormat="1" applyFont="1" applyFill="1" applyBorder="1" applyAlignment="1">
      <alignment horizontal="right" vertical="center"/>
    </xf>
    <xf fontId="67" fillId="0" borderId="0" numFmtId="171" xfId="2" applyNumberFormat="1" applyFont="1" applyAlignment="1">
      <alignment vertical="center"/>
    </xf>
    <xf fontId="67" fillId="0" borderId="0" numFmtId="0" xfId="0" applyFont="1" applyAlignment="1">
      <alignment horizontal="center" textRotation="90" vertical="center"/>
    </xf>
    <xf fontId="68" fillId="0" borderId="0" numFmtId="173" xfId="9" applyNumberFormat="1" applyFont="1" applyAlignment="1">
      <alignment horizontal="right" vertical="center"/>
    </xf>
    <xf fontId="67" fillId="0" borderId="0" numFmtId="173" xfId="2" applyNumberFormat="1" applyFont="1" applyAlignment="1">
      <alignment horizontal="right" vertical="center"/>
    </xf>
    <xf fontId="19" fillId="0" borderId="0" numFmtId="171" xfId="2" applyNumberFormat="1" applyFont="1" applyAlignment="1">
      <alignment vertical="center"/>
    </xf>
    <xf fontId="19" fillId="0" borderId="0" numFmtId="173" xfId="2" applyNumberFormat="1" applyFont="1" applyAlignment="1">
      <alignment horizontal="right" vertical="center"/>
    </xf>
    <xf fontId="65" fillId="0" borderId="0" numFmtId="172" xfId="6" applyNumberFormat="1" applyFont="1" applyAlignment="1" applyProtection="1">
      <alignment horizontal="center" vertical="center"/>
      <protection hidden="1"/>
    </xf>
    <xf fontId="10" fillId="4" borderId="0" numFmtId="0" xfId="0" applyFont="1" applyFill="1" applyAlignment="1">
      <alignment horizontal="center" vertical="center"/>
    </xf>
    <xf fontId="19" fillId="0" borderId="11" numFmtId="175" xfId="2" applyNumberFormat="1" applyFont="1" applyBorder="1" applyAlignment="1">
      <alignment vertical="center"/>
    </xf>
    <xf fontId="19" fillId="0" borderId="12" numFmtId="175" xfId="2" applyNumberFormat="1" applyFont="1" applyBorder="1" applyAlignment="1">
      <alignment vertical="center"/>
    </xf>
    <xf fontId="19" fillId="0" borderId="13" numFmtId="175" xfId="2" applyNumberFormat="1" applyFont="1" applyBorder="1" applyAlignment="1">
      <alignment vertical="center"/>
    </xf>
    <xf fontId="19" fillId="0" borderId="16" numFmtId="175" xfId="2" applyNumberFormat="1" applyFont="1" applyBorder="1" applyAlignment="1">
      <alignment vertical="center"/>
    </xf>
    <xf fontId="19" fillId="0" borderId="0" numFmtId="175" xfId="2" applyNumberFormat="1" applyFont="1" applyAlignment="1">
      <alignment vertical="center"/>
    </xf>
    <xf fontId="19" fillId="0" borderId="17" numFmtId="175" xfId="2" applyNumberFormat="1" applyFont="1" applyBorder="1" applyAlignment="1">
      <alignment vertical="center"/>
    </xf>
    <xf fontId="12" fillId="0" borderId="24" numFmtId="175" xfId="2" applyNumberFormat="1" applyFont="1" applyBorder="1" applyAlignment="1">
      <alignment vertical="center"/>
    </xf>
    <xf fontId="19" fillId="0" borderId="18" numFmtId="175" xfId="2" applyNumberFormat="1" applyFont="1" applyBorder="1" applyAlignment="1">
      <alignment vertical="center"/>
    </xf>
    <xf fontId="19" fillId="0" borderId="19" numFmtId="175" xfId="2" applyNumberFormat="1" applyFont="1" applyBorder="1" applyAlignment="1">
      <alignment vertical="center"/>
    </xf>
    <xf fontId="19" fillId="0" borderId="20" numFmtId="175" xfId="2" applyNumberFormat="1" applyFont="1" applyBorder="1" applyAlignment="1">
      <alignment vertical="center"/>
    </xf>
    <xf fontId="19" fillId="0" borderId="11" numFmtId="171" xfId="2" applyNumberFormat="1" applyFont="1" applyBorder="1" applyAlignment="1">
      <alignment vertical="center"/>
    </xf>
    <xf fontId="19" fillId="0" borderId="12" numFmtId="171" xfId="2" applyNumberFormat="1" applyFont="1" applyBorder="1" applyAlignment="1">
      <alignment vertical="center"/>
    </xf>
    <xf fontId="19" fillId="0" borderId="13" numFmtId="171" xfId="2" applyNumberFormat="1" applyFont="1" applyBorder="1" applyAlignment="1">
      <alignment vertical="center"/>
    </xf>
    <xf fontId="19" fillId="0" borderId="11" numFmtId="173" xfId="2" applyNumberFormat="1" applyFont="1" applyBorder="1" applyAlignment="1">
      <alignment horizontal="right" vertical="center"/>
    </xf>
    <xf fontId="19" fillId="0" borderId="12" numFmtId="173" xfId="2" applyNumberFormat="1" applyFont="1" applyBorder="1" applyAlignment="1">
      <alignment horizontal="right" vertical="center"/>
    </xf>
    <xf fontId="19" fillId="0" borderId="13" numFmtId="173" xfId="2" applyNumberFormat="1" applyFont="1" applyBorder="1" applyAlignment="1">
      <alignment horizontal="right" vertical="center"/>
    </xf>
    <xf fontId="19" fillId="0" borderId="16" numFmtId="171" xfId="2" applyNumberFormat="1" applyFont="1" applyBorder="1" applyAlignment="1">
      <alignment vertical="center"/>
    </xf>
    <xf fontId="19" fillId="0" borderId="17" numFmtId="171" xfId="2" applyNumberFormat="1" applyFont="1" applyBorder="1" applyAlignment="1">
      <alignment vertical="center"/>
    </xf>
    <xf fontId="19" fillId="0" borderId="16" numFmtId="173" xfId="2" applyNumberFormat="1" applyFont="1" applyBorder="1" applyAlignment="1">
      <alignment horizontal="right" vertical="center"/>
    </xf>
    <xf fontId="19" fillId="0" borderId="17" numFmtId="173" xfId="2" applyNumberFormat="1" applyFont="1" applyBorder="1" applyAlignment="1">
      <alignment horizontal="right" vertical="center"/>
    </xf>
    <xf fontId="12" fillId="0" borderId="24" numFmtId="171" xfId="2" applyNumberFormat="1" applyFont="1" applyBorder="1" applyAlignment="1">
      <alignment vertical="center"/>
    </xf>
    <xf fontId="12" fillId="0" borderId="24" numFmtId="173" xfId="2" applyNumberFormat="1" applyFont="1" applyBorder="1" applyAlignment="1">
      <alignment horizontal="right" vertical="center"/>
    </xf>
    <xf fontId="19" fillId="0" borderId="18" numFmtId="171" xfId="2" applyNumberFormat="1" applyFont="1" applyBorder="1" applyAlignment="1">
      <alignment vertical="center"/>
    </xf>
    <xf fontId="19" fillId="0" borderId="19" numFmtId="171" xfId="2" applyNumberFormat="1" applyFont="1" applyBorder="1" applyAlignment="1">
      <alignment vertical="center"/>
    </xf>
    <xf fontId="19" fillId="0" borderId="20" numFmtId="171" xfId="2" applyNumberFormat="1" applyFont="1" applyBorder="1" applyAlignment="1">
      <alignment vertical="center"/>
    </xf>
    <xf fontId="19" fillId="0" borderId="18" numFmtId="173" xfId="2" applyNumberFormat="1" applyFont="1" applyBorder="1" applyAlignment="1">
      <alignment horizontal="right" vertical="center"/>
    </xf>
    <xf fontId="19" fillId="0" borderId="19" numFmtId="173" xfId="2" applyNumberFormat="1" applyFont="1" applyBorder="1" applyAlignment="1">
      <alignment horizontal="right" vertical="center"/>
    </xf>
    <xf fontId="19" fillId="0" borderId="20" numFmtId="173" xfId="2" applyNumberFormat="1" applyFont="1" applyBorder="1" applyAlignment="1">
      <alignment horizontal="right" vertical="center"/>
    </xf>
    <xf fontId="19" fillId="0" borderId="0" numFmtId="0" xfId="7" applyFont="1" applyAlignment="1">
      <alignment horizontal="center" vertical="center"/>
    </xf>
    <xf fontId="12" fillId="0" borderId="0" numFmtId="0" xfId="7" applyFont="1" applyAlignment="1">
      <alignment horizontal="right" vertical="center"/>
    </xf>
    <xf fontId="12" fillId="0" borderId="0" numFmtId="0" xfId="8" applyFont="1" applyAlignment="1">
      <alignment horizontal="center"/>
    </xf>
    <xf fontId="12" fillId="0" borderId="0" numFmtId="0" xfId="8" applyFont="1" applyAlignment="1">
      <alignment horizontal="left"/>
    </xf>
    <xf fontId="12" fillId="0" borderId="0" numFmtId="0" xfId="8" applyFont="1" applyAlignment="1">
      <alignment horizontal="right"/>
    </xf>
    <xf fontId="12" fillId="0" borderId="0" numFmtId="207" xfId="0" applyNumberFormat="1" applyFont="1" applyAlignment="1">
      <alignment horizontal="right"/>
    </xf>
    <xf fontId="12" fillId="0" borderId="0" numFmtId="208" xfId="0" applyNumberFormat="1" applyFont="1" applyAlignment="1">
      <alignment horizontal="right"/>
    </xf>
    <xf fontId="11" fillId="0" borderId="0" numFmtId="0" xfId="7" applyFont="1" applyAlignment="1">
      <alignment horizontal="right"/>
    </xf>
    <xf fontId="11" fillId="0" borderId="0" numFmtId="0" xfId="7" applyFont="1" applyAlignment="1">
      <alignment horizontal="right" vertical="center"/>
    </xf>
    <xf fontId="19" fillId="0" borderId="0" numFmtId="37" xfId="7" applyNumberFormat="1" applyFont="1" applyAlignment="1">
      <alignment vertical="center"/>
    </xf>
    <xf fontId="15" fillId="0" borderId="0" numFmtId="37" xfId="7" applyNumberFormat="1" applyFont="1" applyAlignment="1">
      <alignment horizontal="center" vertical="center"/>
    </xf>
    <xf fontId="15" fillId="0" borderId="0" numFmtId="2" xfId="7" applyNumberFormat="1" applyFont="1"/>
    <xf fontId="15" fillId="0" borderId="0" numFmtId="171" xfId="7" applyNumberFormat="1" applyFont="1"/>
    <xf fontId="15" fillId="0" borderId="0" numFmtId="170" xfId="7" applyNumberFormat="1" applyFont="1"/>
    <xf fontId="15" fillId="0" borderId="0" numFmtId="170" xfId="0" applyNumberFormat="1" applyFont="1" applyAlignment="1">
      <alignment horizontal="right"/>
    </xf>
    <xf fontId="19" fillId="0" borderId="0" numFmtId="178" xfId="7" applyNumberFormat="1" applyFont="1" applyAlignment="1">
      <alignment horizontal="right" vertical="center"/>
    </xf>
    <xf fontId="19" fillId="0" borderId="0" numFmtId="0" xfId="7" applyFont="1" applyAlignment="1">
      <alignment horizontal="left" indent="1" vertical="center"/>
    </xf>
    <xf fontId="12" fillId="0" borderId="0" numFmtId="37" xfId="7" applyNumberFormat="1" applyFont="1" applyAlignment="1">
      <alignment horizontal="left" vertical="center"/>
    </xf>
    <xf fontId="19" fillId="0" borderId="0" numFmtId="37" xfId="7" applyNumberFormat="1" applyFont="1" applyAlignment="1">
      <alignment horizontal="left" indent="1" vertical="center"/>
    </xf>
    <xf fontId="69" fillId="0" borderId="0" numFmtId="170" xfId="0" applyNumberFormat="1" applyFont="1" applyAlignment="1">
      <alignment horizontal="right"/>
    </xf>
    <xf fontId="69" fillId="0" borderId="0" numFmtId="171" xfId="7" applyNumberFormat="1" applyFont="1"/>
    <xf fontId="69" fillId="0" borderId="0" numFmtId="171" xfId="7" applyNumberFormat="1" applyFont="1" applyAlignment="1">
      <alignment horizontal="right" vertical="center"/>
    </xf>
    <xf fontId="19" fillId="0" borderId="0" numFmtId="170" xfId="7" applyNumberFormat="1" applyFont="1"/>
    <xf fontId="19" fillId="0" borderId="0" numFmtId="171" xfId="7" applyNumberFormat="1" applyFont="1"/>
    <xf fontId="19" fillId="0" borderId="0" numFmtId="178" xfId="7" applyNumberFormat="1" applyFont="1"/>
    <xf fontId="19" fillId="0" borderId="0" numFmtId="177" xfId="7" applyNumberFormat="1" applyFont="1" applyAlignment="1">
      <alignment horizontal="right"/>
    </xf>
    <xf fontId="19" fillId="0" borderId="0" numFmtId="182" xfId="7" applyNumberFormat="1" applyFont="1" applyAlignment="1">
      <alignment horizontal="right"/>
    </xf>
    <xf fontId="12" fillId="0" borderId="0" numFmtId="171" xfId="8" applyNumberFormat="1" applyFont="1" applyAlignment="1">
      <alignment horizontal="right"/>
    </xf>
    <xf fontId="12" fillId="0" borderId="0" numFmtId="171" xfId="0" applyNumberFormat="1" applyFont="1" applyAlignment="1">
      <alignment horizontal="centerContinuous"/>
    </xf>
    <xf fontId="11" fillId="0" borderId="0" numFmtId="0" xfId="0" applyFont="1" applyAlignment="1">
      <alignment horizontal="left"/>
    </xf>
    <xf fontId="15" fillId="0" borderId="0" numFmtId="209" xfId="7" applyNumberFormat="1" applyFont="1" applyAlignment="1">
      <alignment horizontal="left" vertical="center"/>
    </xf>
    <xf fontId="19" fillId="0" borderId="0" numFmtId="0" xfId="7" applyFont="1" applyAlignment="1">
      <alignment vertical="center"/>
    </xf>
    <xf fontId="15" fillId="0" borderId="0" numFmtId="175" xfId="7" applyNumberFormat="1" applyFont="1" applyAlignment="1">
      <alignment vertical="center"/>
    </xf>
    <xf fontId="19" fillId="0" borderId="0" numFmtId="188" xfId="7" applyNumberFormat="1" applyFont="1" applyAlignment="1">
      <alignment vertical="center"/>
    </xf>
    <xf fontId="15" fillId="0" borderId="0" numFmtId="171" xfId="7" applyNumberFormat="1" applyFont="1" applyAlignment="1">
      <alignment vertical="center"/>
    </xf>
    <xf fontId="19" fillId="0" borderId="0" numFmtId="171" xfId="7" applyNumberFormat="1" applyFont="1" applyAlignment="1">
      <alignment vertical="center"/>
    </xf>
    <xf fontId="19" fillId="0" borderId="0" numFmtId="170" xfId="7" applyNumberFormat="1" applyFont="1" applyAlignment="1">
      <alignment horizontal="right" vertical="center"/>
    </xf>
    <xf fontId="15" fillId="0" borderId="0" numFmtId="170" xfId="7" applyNumberFormat="1" applyFont="1" applyAlignment="1">
      <alignment vertical="center"/>
    </xf>
    <xf fontId="69" fillId="0" borderId="0" numFmtId="175" xfId="7" applyNumberFormat="1" applyFont="1" applyAlignment="1">
      <alignment vertical="center"/>
    </xf>
    <xf fontId="19" fillId="0" borderId="0" numFmtId="175" xfId="7" applyNumberFormat="1" applyFont="1" applyAlignment="1">
      <alignment vertical="center"/>
    </xf>
    <xf fontId="19" fillId="0" borderId="0" numFmtId="188" xfId="7" applyNumberFormat="1" applyFont="1"/>
    <xf fontId="6" fillId="8" borderId="0" numFmtId="0" xfId="0" applyFont="1" applyFill="1"/>
    <xf fontId="14" fillId="0" borderId="0" numFmtId="0" xfId="0" applyFont="1" applyAlignment="1">
      <alignment horizontal="right"/>
    </xf>
    <xf fontId="69" fillId="0" borderId="0" numFmtId="175" xfId="0" applyNumberFormat="1" applyFont="1"/>
    <xf fontId="46" fillId="0" borderId="0" numFmtId="0" xfId="0" applyFont="1" applyAlignment="1">
      <alignment horizontal="right" vertical="center"/>
    </xf>
    <xf fontId="12" fillId="0" borderId="32" numFmtId="167" xfId="0" applyNumberFormat="1" applyFont="1" applyBorder="1" applyAlignment="1">
      <alignment horizontal="right"/>
    </xf>
    <xf fontId="19" fillId="0" borderId="13" numFmtId="171" xfId="0" applyNumberFormat="1" applyFont="1" applyBorder="1"/>
    <xf fontId="19" fillId="0" borderId="30" numFmtId="171" xfId="0" applyNumberFormat="1" applyFont="1" applyBorder="1"/>
    <xf fontId="19" fillId="0" borderId="31" numFmtId="171" xfId="0" applyNumberFormat="1" applyFont="1" applyBorder="1"/>
    <xf fontId="19" fillId="0" borderId="20" numFmtId="171" xfId="0" applyNumberFormat="1" applyFont="1" applyBorder="1"/>
    <xf fontId="15" fillId="0" borderId="0" numFmtId="206" xfId="0" applyNumberFormat="1" applyFont="1"/>
    <xf fontId="19" fillId="0" borderId="19" numFmtId="170" xfId="0" applyNumberFormat="1" applyFont="1" applyBorder="1"/>
    <xf fontId="19" fillId="4" borderId="0" numFmtId="173" xfId="0" applyNumberFormat="1" applyFont="1" applyFill="1"/>
    <xf fontId="19" fillId="4" borderId="49" numFmtId="173" xfId="0" applyNumberFormat="1" applyFont="1" applyFill="1" applyBorder="1"/>
    <xf fontId="0" fillId="4" borderId="5" numFmtId="189" xfId="0" applyNumberFormat="1" applyFill="1" applyBorder="1" applyAlignment="1">
      <alignment horizontal="right"/>
    </xf>
    <xf fontId="0" fillId="4" borderId="6" numFmtId="189" xfId="0" applyNumberFormat="1" applyFill="1" applyBorder="1" applyAlignment="1">
      <alignment horizontal="right"/>
    </xf>
    <xf fontId="19" fillId="0" borderId="36" numFmtId="173" xfId="0" applyNumberFormat="1" applyFont="1" applyBorder="1"/>
    <xf fontId="19" fillId="0" borderId="36" numFmtId="171" xfId="0" applyNumberFormat="1" applyFont="1" applyBorder="1"/>
    <xf fontId="19" fillId="0" borderId="36" numFmtId="171" xfId="0" applyNumberFormat="1" applyFont="1" applyBorder="1" applyAlignment="1" quotePrefix="1">
      <alignment horizontal="right"/>
    </xf>
    <xf fontId="19" fillId="0" borderId="12" numFmtId="173" xfId="0" applyNumberFormat="1" applyFont="1" applyBorder="1"/>
    <xf fontId="19" fillId="0" borderId="40" numFmtId="176" xfId="9" applyNumberFormat="1" applyFont="1" applyBorder="1" applyAlignment="1" quotePrefix="1">
      <alignment horizontal="right"/>
    </xf>
    <xf fontId="42" fillId="0" borderId="19" numFmtId="0" xfId="0" applyFont="1" applyBorder="1" applyAlignment="1">
      <alignment horizontal="center"/>
    </xf>
    <xf fontId="19" fillId="0" borderId="49" numFmtId="171" xfId="0" applyNumberFormat="1" applyFont="1" applyBorder="1"/>
    <xf fontId="19" fillId="0" borderId="12" numFmtId="171" xfId="0" applyNumberFormat="1" applyFont="1" applyBorder="1"/>
    <xf fontId="19" fillId="0" borderId="0" numFmtId="176" xfId="9" applyNumberFormat="1" applyFont="1"/>
    <xf fontId="19" fillId="0" borderId="36" numFmtId="176" xfId="9" applyNumberFormat="1" applyFont="1" applyBorder="1"/>
    <xf fontId="19" fillId="0" borderId="36" numFmtId="170" xfId="0" applyNumberFormat="1" applyFont="1" applyBorder="1"/>
    <xf fontId="19" fillId="0" borderId="19" numFmtId="173" xfId="0" applyNumberFormat="1" applyFont="1" applyBorder="1"/>
    <xf fontId="19" fillId="4" borderId="19" numFmtId="173" xfId="0" applyNumberFormat="1" applyFont="1" applyFill="1" applyBorder="1"/>
    <xf fontId="19" fillId="4" borderId="37" numFmtId="173" xfId="0" applyNumberFormat="1" applyFont="1" applyFill="1" applyBorder="1"/>
    <xf fontId="19" fillId="0" borderId="49" numFmtId="175" xfId="0" applyNumberFormat="1" applyFont="1" applyBorder="1"/>
    <xf fontId="19" fillId="0" borderId="36" numFmtId="175" xfId="0" applyNumberFormat="1" applyFont="1" applyBorder="1"/>
    <xf fontId="19" fillId="0" borderId="9" numFmtId="171" xfId="0" applyNumberFormat="1" applyFont="1" applyBorder="1" applyAlignment="1">
      <alignment vertical="center"/>
    </xf>
    <xf fontId="19" fillId="0" borderId="38" numFmtId="171" xfId="0" applyNumberFormat="1" applyFont="1" applyBorder="1" applyAlignment="1">
      <alignment vertical="center"/>
    </xf>
    <xf fontId="42" fillId="0" borderId="0" numFmtId="210" xfId="0" applyNumberFormat="1" applyFont="1" applyAlignment="1">
      <alignment horizontal="left" indent="1"/>
    </xf>
    <xf fontId="19" fillId="0" borderId="42" numFmtId="203" xfId="0" applyNumberFormat="1" applyFont="1" applyBorder="1"/>
    <xf fontId="19" fillId="0" borderId="43" numFmtId="203" xfId="0" applyNumberFormat="1" applyFont="1" applyBorder="1"/>
    <xf fontId="19" fillId="0" borderId="44" numFmtId="203" xfId="0" applyNumberFormat="1" applyFont="1" applyBorder="1"/>
    <xf fontId="48" fillId="0" borderId="0" numFmtId="0" xfId="0" applyFont="1" applyAlignment="1">
      <alignment horizontal="right"/>
    </xf>
    <xf fontId="19" fillId="0" borderId="11" numFmtId="171" xfId="0" applyNumberFormat="1" applyFont="1" applyBorder="1"/>
    <xf fontId="70" fillId="0" borderId="0" numFmtId="170" xfId="0" applyNumberFormat="1" applyFont="1" applyAlignment="1">
      <alignment horizontal="centerContinuous"/>
    </xf>
    <xf fontId="15" fillId="0" borderId="19" numFmtId="175" xfId="0" applyNumberFormat="1" applyFont="1" applyBorder="1"/>
    <xf fontId="19" fillId="0" borderId="19" numFmtId="175" xfId="0" applyNumberFormat="1" applyFont="1" applyBorder="1"/>
    <xf fontId="19" fillId="0" borderId="37" numFmtId="175" xfId="0" applyNumberFormat="1" applyFont="1" applyBorder="1"/>
    <xf fontId="49" fillId="0" borderId="36" numFmtId="0" xfId="0" applyFont="1" applyBorder="1"/>
    <xf fontId="19" fillId="0" borderId="40" numFmtId="171" xfId="0" applyNumberFormat="1" applyFont="1" applyBorder="1"/>
    <xf fontId="19" fillId="0" borderId="19" numFmtId="0" xfId="0" applyFont="1" applyBorder="1" applyAlignment="1">
      <alignment horizontal="left"/>
    </xf>
    <xf fontId="32" fillId="0" borderId="0" numFmtId="0" xfId="0" applyFont="1" applyAlignment="1">
      <alignment horizontal="left"/>
    </xf>
    <xf fontId="15" fillId="0" borderId="19" numFmtId="176" xfId="9" applyNumberFormat="1" applyFont="1" applyBorder="1"/>
    <xf fontId="19" fillId="0" borderId="29" numFmtId="173" xfId="0" applyNumberFormat="1" applyFont="1" applyBorder="1"/>
    <xf fontId="19" fillId="0" borderId="30" numFmtId="173" xfId="0" applyNumberFormat="1" applyFont="1" applyBorder="1"/>
    <xf fontId="19" fillId="0" borderId="40" numFmtId="173" xfId="0" applyNumberFormat="1" applyFont="1" applyBorder="1"/>
    <xf fontId="19" fillId="0" borderId="13" numFmtId="194" xfId="2" applyNumberFormat="1" applyFont="1" applyBorder="1" applyAlignment="1">
      <alignment horizontal="right"/>
    </xf>
    <xf fontId="19" fillId="0" borderId="20" numFmtId="176" xfId="9" applyNumberFormat="1" applyFont="1" applyBorder="1"/>
    <xf fontId="19" fillId="4" borderId="0" numFmtId="171" xfId="0" applyNumberFormat="1" applyFont="1" applyFill="1" applyAlignment="1">
      <alignment horizontal="right"/>
    </xf>
    <xf fontId="19" fillId="4" borderId="49" numFmtId="171" xfId="0" applyNumberFormat="1" applyFont="1" applyFill="1" applyBorder="1" applyAlignment="1">
      <alignment horizontal="right"/>
    </xf>
    <xf fontId="19" fillId="4" borderId="19" numFmtId="171" xfId="0" applyNumberFormat="1" applyFont="1" applyFill="1" applyBorder="1" applyAlignment="1">
      <alignment horizontal="right"/>
    </xf>
    <xf fontId="19" fillId="4" borderId="37" numFmtId="171" xfId="0" applyNumberFormat="1" applyFont="1" applyFill="1" applyBorder="1" applyAlignment="1">
      <alignment horizontal="right"/>
    </xf>
    <xf fontId="19" fillId="4" borderId="36" numFmtId="171" xfId="0" applyNumberFormat="1" applyFont="1" applyFill="1" applyBorder="1" applyAlignment="1">
      <alignment horizontal="right"/>
    </xf>
    <xf fontId="0" fillId="4" borderId="5" numFmtId="171" xfId="0" applyNumberFormat="1" applyFill="1" applyBorder="1" applyAlignment="1">
      <alignment horizontal="right"/>
    </xf>
    <xf fontId="0" fillId="4" borderId="6" numFmtId="171" xfId="0" applyNumberFormat="1" applyFill="1" applyBorder="1" applyAlignment="1">
      <alignment horizontal="right"/>
    </xf>
    <xf fontId="0" fillId="0" borderId="0" numFmtId="171" xfId="0" applyNumberFormat="1" applyAlignment="1">
      <alignment horizontal="right"/>
    </xf>
    <xf fontId="71" fillId="0" borderId="0" numFmtId="172" xfId="6" applyNumberFormat="1" applyFont="1" applyAlignment="1" applyProtection="1">
      <alignment horizontal="center" vertical="center"/>
      <protection hidden="1"/>
    </xf>
    <xf fontId="15" fillId="4" borderId="37" numFmtId="171" xfId="0" applyNumberFormat="1" applyFont="1" applyFill="1" applyBorder="1" applyAlignment="1">
      <alignment horizontal="right"/>
    </xf>
    <xf fontId="12" fillId="0" borderId="9" numFmtId="171" xfId="0" applyNumberFormat="1" applyFont="1" applyBorder="1" applyAlignment="1">
      <alignment horizontal="right" vertical="center"/>
    </xf>
    <xf fontId="12" fillId="0" borderId="38" numFmtId="171" xfId="0" applyNumberFormat="1" applyFont="1" applyBorder="1" applyAlignment="1">
      <alignment horizontal="right" vertical="center"/>
    </xf>
    <xf fontId="19" fillId="0" borderId="16" numFmtId="171" xfId="0" applyNumberFormat="1" applyFont="1" applyBorder="1"/>
    <xf fontId="19" fillId="0" borderId="17" numFmtId="171" xfId="0" applyNumberFormat="1" applyFont="1" applyBorder="1"/>
    <xf fontId="19" fillId="0" borderId="18" numFmtId="171" xfId="0" applyNumberFormat="1" applyFont="1" applyBorder="1"/>
    <xf fontId="19" fillId="4" borderId="0" numFmtId="171" xfId="0" applyNumberFormat="1" applyFont="1" applyFill="1"/>
    <xf fontId="19" fillId="4" borderId="11" numFmtId="171" xfId="0" applyNumberFormat="1" applyFont="1" applyFill="1" applyBorder="1"/>
    <xf fontId="19" fillId="4" borderId="13" numFmtId="171" xfId="0" applyNumberFormat="1" applyFont="1" applyFill="1" applyBorder="1"/>
    <xf fontId="19" fillId="4" borderId="16" numFmtId="171" xfId="0" applyNumberFormat="1" applyFont="1" applyFill="1" applyBorder="1"/>
    <xf fontId="19" fillId="4" borderId="17" numFmtId="171" xfId="0" applyNumberFormat="1" applyFont="1" applyFill="1" applyBorder="1"/>
    <xf fontId="19" fillId="4" borderId="18" numFmtId="171" xfId="0" applyNumberFormat="1" applyFont="1" applyFill="1" applyBorder="1"/>
    <xf fontId="19" fillId="4" borderId="20" numFmtId="171" xfId="0" applyNumberFormat="1" applyFont="1" applyFill="1" applyBorder="1"/>
    <xf fontId="12" fillId="0" borderId="9" numFmtId="171" xfId="0" applyNumberFormat="1" applyFont="1" applyBorder="1" applyAlignment="1">
      <alignment vertical="center"/>
    </xf>
    <xf fontId="12" fillId="0" borderId="39" numFmtId="171" xfId="0" applyNumberFormat="1" applyFont="1" applyBorder="1" applyAlignment="1">
      <alignment vertical="center"/>
    </xf>
    <xf fontId="19" fillId="4" borderId="30" numFmtId="171" xfId="0" applyNumberFormat="1" applyFont="1" applyFill="1" applyBorder="1"/>
    <xf fontId="19" fillId="4" borderId="31" numFmtId="171" xfId="0" applyNumberFormat="1" applyFont="1" applyFill="1" applyBorder="1"/>
    <xf fontId="19" fillId="0" borderId="13" numFmtId="175" xfId="9" applyNumberFormat="1" applyFont="1" applyBorder="1" applyAlignment="1">
      <alignment horizontal="right"/>
    </xf>
    <xf fontId="19" fillId="0" borderId="20" numFmtId="171" xfId="0" applyNumberFormat="1" applyFont="1" applyBorder="1" applyAlignment="1">
      <alignment horizontal="right"/>
    </xf>
    <xf fontId="19" fillId="0" borderId="30" numFmtId="188" xfId="0" applyNumberFormat="1" applyFont="1" applyBorder="1" applyAlignment="1">
      <alignment horizontal="right"/>
    </xf>
    <xf fontId="19" fillId="0" borderId="31" numFmtId="188" xfId="0" applyNumberFormat="1" applyFont="1" applyBorder="1" applyAlignment="1">
      <alignment horizontal="right"/>
    </xf>
    <xf fontId="19" fillId="0" borderId="20" numFmtId="188" xfId="0" applyNumberFormat="1" applyFont="1" applyBorder="1" applyAlignment="1">
      <alignment horizontal="right"/>
    </xf>
    <xf fontId="19" fillId="0" borderId="18" numFmtId="188" xfId="0" applyNumberFormat="1" applyFont="1" applyBorder="1" applyAlignment="1">
      <alignment horizontal="right"/>
    </xf>
    <xf fontId="19" fillId="0" borderId="19" numFmtId="188" xfId="0" applyNumberFormat="1" applyFont="1" applyBorder="1" applyAlignment="1">
      <alignment horizontal="right"/>
    </xf>
    <xf fontId="12" fillId="0" borderId="11" numFmtId="169" xfId="0" applyNumberFormat="1" applyFont="1" applyBorder="1" applyAlignment="1">
      <alignment horizontal="left"/>
    </xf>
    <xf fontId="19" fillId="0" borderId="12" numFmtId="174" xfId="0" applyNumberFormat="1" applyFont="1" applyBorder="1" applyAlignment="1">
      <alignment horizontal="left"/>
    </xf>
    <xf fontId="19" fillId="0" borderId="12" numFmtId="173" xfId="0" applyNumberFormat="1" applyFont="1" applyBorder="1" applyAlignment="1">
      <alignment horizontal="right"/>
    </xf>
    <xf fontId="19" fillId="0" borderId="13" numFmtId="173" xfId="0" applyNumberFormat="1" applyFont="1" applyBorder="1" applyAlignment="1">
      <alignment horizontal="right"/>
    </xf>
    <xf fontId="12" fillId="0" borderId="16" numFmtId="169" xfId="0" applyNumberFormat="1" applyFont="1" applyBorder="1" applyAlignment="1">
      <alignment horizontal="left"/>
    </xf>
    <xf fontId="19" fillId="0" borderId="0" numFmtId="174" xfId="0" applyNumberFormat="1" applyFont="1" applyAlignment="1">
      <alignment horizontal="left"/>
    </xf>
    <xf fontId="19" fillId="0" borderId="0" numFmtId="173" xfId="0" applyNumberFormat="1" applyFont="1" applyAlignment="1">
      <alignment horizontal="right"/>
    </xf>
    <xf fontId="19" fillId="0" borderId="17" numFmtId="173" xfId="0" applyNumberFormat="1" applyFont="1" applyBorder="1" applyAlignment="1">
      <alignment horizontal="right"/>
    </xf>
    <xf fontId="19" fillId="0" borderId="19" numFmtId="174" xfId="0" applyNumberFormat="1" applyFont="1" applyBorder="1" applyAlignment="1">
      <alignment horizontal="left"/>
    </xf>
    <xf fontId="19" fillId="0" borderId="19" numFmtId="173" xfId="0" applyNumberFormat="1" applyFont="1" applyBorder="1" applyAlignment="1">
      <alignment horizontal="right"/>
    </xf>
    <xf fontId="19" fillId="0" borderId="20" numFmtId="173" xfId="0" applyNumberFormat="1" applyFont="1" applyBorder="1" applyAlignment="1">
      <alignment horizontal="right"/>
    </xf>
    <xf fontId="19" fillId="0" borderId="12" numFmtId="170" xfId="0" applyNumberFormat="1" applyFont="1" applyBorder="1" applyAlignment="1">
      <alignment horizontal="left"/>
    </xf>
    <xf fontId="19" fillId="0" borderId="13" numFmtId="170" xfId="0" applyNumberFormat="1" applyFont="1" applyBorder="1" applyAlignment="1">
      <alignment horizontal="left"/>
    </xf>
    <xf fontId="19" fillId="0" borderId="12" numFmtId="171" xfId="0" applyNumberFormat="1" applyFont="1" applyBorder="1" applyAlignment="1">
      <alignment horizontal="right"/>
    </xf>
    <xf fontId="19" fillId="0" borderId="13" numFmtId="171" xfId="0" applyNumberFormat="1" applyFont="1" applyBorder="1" applyAlignment="1">
      <alignment horizontal="right"/>
    </xf>
    <xf fontId="19" fillId="0" borderId="0" numFmtId="170" xfId="0" applyNumberFormat="1" applyFont="1" applyAlignment="1">
      <alignment horizontal="left"/>
    </xf>
    <xf fontId="19" fillId="0" borderId="17" numFmtId="170" xfId="0" applyNumberFormat="1" applyFont="1" applyBorder="1" applyAlignment="1">
      <alignment horizontal="left"/>
    </xf>
    <xf fontId="19" fillId="0" borderId="17" numFmtId="171" xfId="0" applyNumberFormat="1" applyFont="1" applyBorder="1" applyAlignment="1">
      <alignment horizontal="right"/>
    </xf>
    <xf fontId="19" fillId="0" borderId="19" numFmtId="170" xfId="0" applyNumberFormat="1" applyFont="1" applyBorder="1" applyAlignment="1">
      <alignment horizontal="left"/>
    </xf>
    <xf fontId="19" fillId="0" borderId="20" numFmtId="170" xfId="0" applyNumberFormat="1" applyFont="1" applyBorder="1" applyAlignment="1">
      <alignment horizontal="left"/>
    </xf>
    <xf fontId="19" fillId="0" borderId="19" numFmtId="171" xfId="0" applyNumberFormat="1" applyFont="1" applyBorder="1" applyAlignment="1">
      <alignment horizontal="right"/>
    </xf>
    <xf fontId="19" fillId="4" borderId="29" numFmtId="171" xfId="0" applyNumberFormat="1" applyFont="1" applyFill="1" applyBorder="1"/>
    <xf fontId="19" fillId="0" borderId="13" numFmtId="188" xfId="0" applyNumberFormat="1" applyFont="1" applyBorder="1" applyAlignment="1">
      <alignment horizontal="right"/>
    </xf>
    <xf fontId="19" fillId="0" borderId="20" numFmtId="173" xfId="9" applyNumberFormat="1" applyFont="1" applyBorder="1"/>
    <xf fontId="19" fillId="4" borderId="19" numFmtId="171" xfId="0" applyNumberFormat="1" applyFont="1" applyFill="1" applyBorder="1"/>
    <xf fontId="19" fillId="4" borderId="12" numFmtId="171" xfId="0" applyNumberFormat="1" applyFont="1" applyFill="1" applyBorder="1"/>
    <xf fontId="19" fillId="0" borderId="18" numFmtId="202" xfId="0" applyNumberFormat="1" applyFont="1" applyBorder="1"/>
    <xf fontId="19" fillId="0" borderId="19" numFmtId="202" xfId="0" applyNumberFormat="1" applyFont="1" applyBorder="1"/>
    <xf fontId="19" fillId="0" borderId="20" numFmtId="202" xfId="0" applyNumberFormat="1" applyFont="1" applyBorder="1"/>
    <xf fontId="19" fillId="0" borderId="0" numFmtId="202" xfId="0" applyNumberFormat="1" applyFont="1"/>
    <xf fontId="19" fillId="0" borderId="13" numFmtId="176" xfId="9" applyNumberFormat="1" applyFont="1" applyBorder="1"/>
    <xf fontId="19" fillId="0" borderId="20" numFmtId="203" xfId="0" applyNumberFormat="1" applyFont="1" applyBorder="1" applyAlignment="1">
      <alignment horizontal="right"/>
    </xf>
    <xf fontId="19" fillId="4" borderId="49" numFmtId="171" xfId="0" applyNumberFormat="1" applyFont="1" applyFill="1" applyBorder="1"/>
    <xf fontId="19" fillId="4" borderId="36" numFmtId="171" xfId="0" applyNumberFormat="1" applyFont="1" applyFill="1" applyBorder="1"/>
    <xf fontId="19" fillId="4" borderId="40" numFmtId="171" xfId="0" applyNumberFormat="1" applyFont="1" applyFill="1" applyBorder="1"/>
    <xf fontId="19" fillId="4" borderId="9" numFmtId="171" xfId="0" applyNumberFormat="1" applyFont="1" applyFill="1" applyBorder="1" applyAlignment="1">
      <alignment vertical="center"/>
    </xf>
    <xf fontId="19" fillId="4" borderId="38" numFmtId="171" xfId="0" applyNumberFormat="1" applyFont="1" applyFill="1" applyBorder="1" applyAlignment="1">
      <alignment vertical="center"/>
    </xf>
    <xf fontId="19" fillId="0" borderId="42" numFmtId="203" xfId="0" applyNumberFormat="1" applyFont="1" applyBorder="1" applyAlignment="1">
      <alignment horizontal="right"/>
    </xf>
    <xf fontId="19" fillId="0" borderId="43" numFmtId="203" xfId="0" applyNumberFormat="1" applyFont="1" applyBorder="1" applyAlignment="1">
      <alignment horizontal="right"/>
    </xf>
    <xf fontId="19" fillId="0" borderId="44" numFmtId="203" xfId="0" applyNumberFormat="1" applyFont="1" applyBorder="1" applyAlignment="1">
      <alignment horizontal="right"/>
    </xf>
    <xf fontId="14" fillId="0" borderId="13" numFmtId="173" xfId="9" applyNumberFormat="1" applyFont="1" applyBorder="1" applyAlignment="1">
      <alignment horizontal="right"/>
    </xf>
    <xf fontId="19" fillId="0" borderId="41" numFmtId="204" xfId="0" applyNumberFormat="1" applyFont="1" applyBorder="1" applyAlignment="1">
      <alignment horizontal="center"/>
    </xf>
    <xf fontId="19" fillId="4" borderId="0" numFmtId="204" xfId="0" applyNumberFormat="1" applyFont="1" applyFill="1" applyAlignment="1">
      <alignment horizontal="center"/>
    </xf>
    <xf fontId="19" fillId="4" borderId="47" numFmtId="204" xfId="0" applyNumberFormat="1" applyFont="1" applyFill="1" applyBorder="1" applyAlignment="1">
      <alignment horizontal="center"/>
    </xf>
    <xf fontId="19" fillId="0" borderId="20" numFmtId="173" xfId="9" applyNumberFormat="1" applyFont="1" applyBorder="1" applyAlignment="1">
      <alignment horizontal="right"/>
    </xf>
    <xf fontId="19" fillId="4" borderId="48" numFmtId="204" xfId="0" applyNumberFormat="1" applyFont="1" applyFill="1" applyBorder="1" applyAlignment="1">
      <alignment horizontal="center"/>
    </xf>
    <xf fontId="72" fillId="0" borderId="0" numFmtId="37" xfId="0" applyNumberFormat="1" applyFont="1" applyAlignment="1">
      <alignment vertical="center"/>
    </xf>
    <xf fontId="0" fillId="4" borderId="26" numFmtId="171" xfId="0" applyNumberFormat="1" applyFill="1" applyBorder="1" applyAlignment="1">
      <alignment horizontal="right"/>
    </xf>
    <xf fontId="0" fillId="4" borderId="27" numFmtId="171" xfId="0" applyNumberFormat="1" applyFill="1" applyBorder="1" applyAlignment="1">
      <alignment horizontal="right"/>
    </xf>
    <xf fontId="20" fillId="4" borderId="28" numFmtId="172" xfId="6" applyNumberFormat="1" applyFont="1" applyFill="1" applyBorder="1" applyAlignment="1" applyProtection="1">
      <alignment horizontal="center" vertical="center"/>
      <protection hidden="1"/>
    </xf>
    <xf fontId="19" fillId="4" borderId="0" numFmtId="173" xfId="2" applyNumberFormat="1" applyFont="1" applyFill="1" applyAlignment="1">
      <alignment horizontal="right"/>
    </xf>
    <xf fontId="0" fillId="4" borderId="14" numFmtId="190" xfId="0" applyNumberFormat="1" applyFill="1" applyBorder="1" applyAlignment="1">
      <alignment horizontal="right"/>
    </xf>
    <xf fontId="0" fillId="4" borderId="0" numFmtId="190" xfId="0" applyNumberFormat="1" applyFill="1" applyAlignment="1">
      <alignment horizontal="right"/>
    </xf>
    <xf fontId="17" fillId="4" borderId="14" numFmtId="37" xfId="0" applyNumberFormat="1" applyFont="1" applyFill="1" applyBorder="1" applyAlignment="1">
      <alignment vertical="center"/>
    </xf>
    <xf fontId="17" fillId="4" borderId="0" numFmtId="37" xfId="0" applyNumberFormat="1" applyFont="1" applyFill="1" applyAlignment="1">
      <alignment vertical="center"/>
    </xf>
    <xf fontId="72" fillId="4" borderId="15" numFmtId="37" xfId="0" applyNumberFormat="1" applyFont="1" applyFill="1" applyBorder="1" applyAlignment="1">
      <alignment vertical="center"/>
    </xf>
    <xf fontId="32" fillId="4" borderId="12" numFmtId="188" xfId="0" applyNumberFormat="1" applyFont="1" applyFill="1" applyBorder="1" applyAlignment="1">
      <alignment horizontal="right"/>
    </xf>
    <xf fontId="32" fillId="4" borderId="0" numFmtId="188" xfId="0" applyNumberFormat="1" applyFont="1" applyFill="1" applyAlignment="1">
      <alignment horizontal="right"/>
    </xf>
    <xf fontId="6" fillId="0" borderId="16" numFmtId="0" xfId="0" applyFont="1" applyBorder="1"/>
    <xf fontId="19" fillId="4" borderId="13" numFmtId="175" xfId="0" applyNumberFormat="1" applyFont="1" applyFill="1" applyBorder="1"/>
    <xf fontId="0" fillId="4" borderId="21" numFmtId="175" xfId="0" applyNumberFormat="1" applyFill="1" applyBorder="1" applyAlignment="1">
      <alignment horizontal="right"/>
    </xf>
    <xf fontId="0" fillId="4" borderId="22" numFmtId="175" xfId="0" applyNumberFormat="1" applyFill="1" applyBorder="1" applyAlignment="1">
      <alignment horizontal="right"/>
    </xf>
    <xf fontId="19" fillId="0" borderId="13" numFmtId="178" xfId="9" applyNumberFormat="1" applyFont="1" applyBorder="1" applyAlignment="1">
      <alignment horizontal="right"/>
    </xf>
    <xf fontId="19" fillId="4" borderId="37" numFmtId="171" xfId="0" applyNumberFormat="1" applyFont="1" applyFill="1" applyBorder="1"/>
    <xf fontId="19" fillId="4" borderId="40" numFmtId="175" xfId="2" applyNumberFormat="1" applyFont="1" applyFill="1" applyBorder="1" applyAlignment="1">
      <alignment horizontal="center"/>
    </xf>
    <xf fontId="0" fillId="4" borderId="5" numFmtId="175" xfId="0" applyNumberFormat="1" applyFill="1" applyBorder="1" applyAlignment="1">
      <alignment horizontal="right"/>
    </xf>
    <xf fontId="0" fillId="4" borderId="6" numFmtId="175" xfId="0" applyNumberFormat="1" applyFill="1" applyBorder="1" applyAlignment="1">
      <alignment horizontal="right"/>
    </xf>
    <xf fontId="32" fillId="0" borderId="12" numFmtId="188" xfId="0" applyNumberFormat="1" applyFont="1" applyBorder="1" applyAlignment="1">
      <alignment horizontal="right"/>
    </xf>
    <xf fontId="32" fillId="0" borderId="19" numFmtId="188" xfId="0" applyNumberFormat="1" applyFont="1" applyBorder="1" applyAlignment="1">
      <alignment horizontal="right"/>
    </xf>
    <xf fontId="19" fillId="0" borderId="20" numFmtId="175" xfId="0" applyNumberFormat="1" applyFont="1" applyBorder="1"/>
  </cellXfs>
  <cellStyles count="10">
    <cellStyle name="Comma" xfId="1" builtinId="3"/>
    <cellStyle name="Comma 2" xfId="2"/>
    <cellStyle name="Comma 2 2" xfId="3"/>
    <cellStyle name="Comma 2 3" xfId="4"/>
    <cellStyle name="Hyperlink 2 2" xfId="5"/>
    <cellStyle name="Normal" xfId="0" builtinId="0"/>
    <cellStyle name="Normal 2" xfId="6"/>
    <cellStyle name="Normal 2 2 2" xfId="7"/>
    <cellStyle name="Normal_Master Junior Database v2" xfId="8"/>
    <cellStyle name="Percent" xfId="9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worksheet" Target="worksheets/sheet8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sheetMetadata" Target="metadata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worksheet" Target="worksheets/sheet6.xml"/><Relationship  Id="rId9" Type="http://schemas.openxmlformats.org/officeDocument/2006/relationships/worksheet" Target="worksheets/sheet7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invertIfNegative val="0"/>
          <c:dLbls>
            <c:dLblPos val="inEnd"/>
            <c:numFmt formatCode="&quot;$&quot;#,##0.00" sourceLinked="0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/>
                    <a:ea typeface="Open Sans"/>
                    <a:cs typeface="Open Sans"/>
                  </a:defRPr>
                </a:pPr>
                <a:endParaRPr lang="en-US"/>
              </a:p>
            </c:txPr>
          </c:dLbls>
          <c:cat>
            <c:strRef>
              <c:f>'Football Field Chart'!$D$37:$D$41</c:f>
              <c:strCache>
                <c:ptCount val="5"/>
                <c:pt idx="0">
                  <c:v>Comparable Companies</c:v>
                </c:pt>
                <c:pt idx="1">
                  <c:v>Precedent Transactions</c:v>
                </c:pt>
                <c:pt idx="2">
                  <c:v>DCF - Perpetuity Growth</c:v>
                </c:pt>
                <c:pt idx="3">
                  <c:v>DCF - Terminal Multiple</c:v>
                </c:pt>
                <c:pt idx="4">
                  <c:v>52 Week High/Low</c:v>
                </c:pt>
              </c:strCache>
            </c:strRef>
          </c:cat>
          <c:val>
            <c:numRef>
              <c:f>'Football Field Chart'!$E$37:$E$41</c:f>
              <c:numCache>
                <c:formatCode>_(#,##0.00_);\(#,##0.00\);_("–"_);_(@_)</c:formatCode>
                <c:ptCount val="5"/>
                <c:pt idx="0">
                  <c:v>1.6205457647515074</c:v>
                </c:pt>
                <c:pt idx="1">
                  <c:v>5.880691407256406</c:v>
                </c:pt>
                <c:pt idx="2">
                  <c:v>2.8323071530074224</c:v>
                </c:pt>
                <c:pt idx="3">
                  <c:v>2.581645652856124</c:v>
                </c:pt>
                <c:pt idx="4">
                  <c:v>3.2</c:v>
                </c:pt>
              </c:numCache>
            </c:numRef>
          </c:val>
        </c:ser>
        <c:ser>
          <c:idx val="1"/>
          <c:order val="1"/>
          <c:spPr bwMode="auto">
            <a:prstGeom prst="rect">
              <a:avLst/>
            </a:prstGeom>
            <a:solidFill>
              <a:srgbClr val="132E57"/>
            </a:solidFill>
            <a:ln>
              <a:noFill/>
            </a:ln>
            <a:effectLst/>
          </c:spPr>
          <c:invertIfNegative val="0"/>
          <c:cat>
            <c:strRef>
              <c:f>'Football Field Chart'!$D$37:$D$41</c:f>
              <c:strCache>
                <c:ptCount val="5"/>
                <c:pt idx="0">
                  <c:v>Comparable Companies</c:v>
                </c:pt>
                <c:pt idx="1">
                  <c:v>Precedent Transactions</c:v>
                </c:pt>
                <c:pt idx="2">
                  <c:v>DCF - Perpetuity Growth</c:v>
                </c:pt>
                <c:pt idx="3">
                  <c:v>DCF - Terminal Multiple</c:v>
                </c:pt>
                <c:pt idx="4">
                  <c:v>52 Week High/Low</c:v>
                </c:pt>
              </c:strCache>
            </c:strRef>
          </c:cat>
          <c:val>
            <c:numRef>
              <c:f>'Football Field Chart'!$F$37:$F$41</c:f>
              <c:numCache>
                <c:formatCode>_(#,##0.00_);\(#,##0.00\);_("–"_);_(@_)</c:formatCode>
                <c:ptCount val="5"/>
                <c:pt idx="0">
                  <c:v>1.235992022994791</c:v>
                </c:pt>
                <c:pt idx="1">
                  <c:v>0.7255370477422769</c:v>
                </c:pt>
                <c:pt idx="2">
                  <c:v>1.6855227094289718</c:v>
                </c:pt>
                <c:pt idx="3">
                  <c:v>1.9964774557175664</c:v>
                </c:pt>
                <c:pt idx="4">
                  <c:v>1.7999999999999998</c:v>
                </c:pt>
              </c:numCache>
            </c:numRef>
          </c:val>
        </c:ser>
        <c:ser>
          <c:idx val="2"/>
          <c:order val="2"/>
          <c:spPr bwMode="auto">
            <a:prstGeom prst="rect">
              <a:avLst/>
            </a:prstGeom>
            <a:noFill/>
            <a:ln>
              <a:noFill/>
            </a:ln>
            <a:effectLst/>
          </c:spPr>
          <c:invertIfNegative val="0"/>
          <c:dLbls>
            <c:dLbl>
              <c:idx val="3"/>
              <c:dLblPos val="ctr"/>
              <c:layout>
                <c:manualLayout>
                  <c:x val="-0.001721"/>
                  <c:y val="0.062318"/>
                </c:manualLayout>
              </c:layout>
              <c:showBubbleSize val="0"/>
              <c:showCatName val="0"/>
              <c:showLegendKey val="0"/>
              <c:showPercent val="0"/>
              <c:showSerName val="0"/>
              <c:showVal val="1"/>
            </c:dLbl>
            <c:dLblPos val="inBase"/>
            <c:numFmt formatCode="&quot;$&quot;#,##0.00" sourceLinked="0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Open Sans"/>
                    <a:ea typeface="Open Sans"/>
                    <a:cs typeface="Open Sans"/>
                  </a:defRPr>
                </a:pPr>
                <a:endParaRPr lang="en-US"/>
              </a:p>
            </c:txPr>
          </c:dLbls>
          <c:cat>
            <c:strRef>
              <c:f>'Football Field Chart'!$D$37:$D$41</c:f>
              <c:strCache>
                <c:ptCount val="5"/>
                <c:pt idx="0">
                  <c:v>Comparable Companies</c:v>
                </c:pt>
                <c:pt idx="1">
                  <c:v>Precedent Transactions</c:v>
                </c:pt>
                <c:pt idx="2">
                  <c:v>DCF - Perpetuity Growth</c:v>
                </c:pt>
                <c:pt idx="3">
                  <c:v>DCF - Terminal Multiple</c:v>
                </c:pt>
                <c:pt idx="4">
                  <c:v>52 Week High/Low</c:v>
                </c:pt>
              </c:strCache>
            </c:strRef>
          </c:cat>
          <c:val>
            <c:numRef>
              <c:f>'Football Field Chart'!$G$37:$G$41</c:f>
              <c:numCache>
                <c:formatCode>_(#,##0.00_);\(#,##0.00\);_("–"_);_(@_)</c:formatCode>
                <c:ptCount val="5"/>
                <c:pt idx="0">
                  <c:v>2.8565377877462983</c:v>
                </c:pt>
                <c:pt idx="1">
                  <c:v>6.606228454998683</c:v>
                </c:pt>
                <c:pt idx="2">
                  <c:v>4.517829862436394</c:v>
                </c:pt>
                <c:pt idx="3">
                  <c:v>4.57812310857369</c:v>
                </c:pt>
                <c:pt idx="4">
                  <c:v>5</c:v>
                </c:pt>
              </c:numCache>
            </c:numRef>
          </c:val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gapWidth val="150"/>
        <c:overlap val="100"/>
        <c:axId val="981352351"/>
        <c:axId val="981360255"/>
      </c:barChart>
      <c:catAx>
        <c:axId val="98135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endParaRPr lang="en-US"/>
          </a:p>
        </c:txPr>
        <c:crossAx val="981360255"/>
        <c:crosses val="autoZero"/>
        <c:auto val="1"/>
        <c:lblAlgn val="ctr"/>
        <c:lblOffset val="100"/>
        <c:noMultiLvlLbl val="0"/>
      </c:catAx>
      <c:valAx>
        <c:axId val="981360255"/>
        <c:scaling>
          <c:orientation val="minMax"/>
          <c:max val="15.000000"/>
          <c:min val="0.000000"/>
        </c:scaling>
        <c:delete val="0"/>
        <c:axPos val="l"/>
        <c:numFmt formatCode="&quot;$&quot;#,##0.00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endParaRPr lang="en-US"/>
          </a:p>
        </c:txPr>
        <c:crossAx val="98135235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trlProps/ctrlProp1.xml><?xml version="1.0" encoding="utf-8"?>
<formControlPr xmlns="http://schemas.microsoft.com/office/spreadsheetml/2009/9/main" objectType="Drop" dropStyle="combo" dx="22" dropLines="8" inc="1" min="0" max="2" page="1" sel="2" selType="single" val="0" fmlaLink="Outputs!$F$6" fmlaRange="$B$12:$B$14" noThreeD="1" noThreeD2="1"/>
</file>

<file path=xl/ctrlProps/ctrlProp2.xml><?xml version="1.0" encoding="utf-8"?>
<formControlPr xmlns="http://schemas.microsoft.com/office/spreadsheetml/2009/9/main" objectType="Drop" dropStyle="combo" dx="22" dropLines="8" inc="1" min="0" max="0" page="3" sel="2" selType="single" val="0" fmlaLink="Outputs!$F$6" fmlaRange="$D$14:$D$16" noThreeD="1" noThreeD2="1"/>
</file>

<file path=xl/ctrlProps/ctrlProp3.xml><?xml version="1.0" encoding="utf-8"?>
<formControlPr xmlns="http://schemas.microsoft.com/office/spreadsheetml/2009/9/main" objectType="Drop" dropStyle="combo" dx="22" dropLines="8" inc="1" min="0" max="0" page="3" sel="2" selType="single" val="0" fmlaLink="Outputs!$F$6" fmlaRange="$D$14:$D$16" noThreeD="1" noThreeD2="1"/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corporatefinanceinstitute.com/" TargetMode="External"/><Relationship Id="rId2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hyperlink" Target="https://corporatefinanceinstitute.com/" TargetMode="External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hyperlink" Target="https://corporatefinanceinstitute.com/" TargetMode="External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hyperlink" Target="https://corporatefinanceinstitute.com/" TargetMode="External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hyperlink" Target="https://corporatefinanceinstitute.com/" TargetMode="External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hyperlink" Target="https://corporatefinanceinstitute.com/" TargetMode="External"/><Relationship Id="rId2" Type="http://schemas.openxmlformats.org/officeDocument/2006/relationships/image" Target="../media/image1.png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130967</xdr:colOff>
      <xdr:row>0</xdr:row>
      <xdr:rowOff>138154</xdr:rowOff>
    </xdr:from>
    <xdr:to>
      <xdr:col>3</xdr:col>
      <xdr:colOff>592704</xdr:colOff>
      <xdr:row>0</xdr:row>
      <xdr:rowOff>492296</xdr:rowOff>
    </xdr:to>
    <xdr:pic>
      <xdr:nvPicPr>
        <xdr:cNvPr id="3" name="Picture 2">
          <a:hlinkClick r:id="rId1"/>
        </xdr:cNvPr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772317" y="138154"/>
          <a:ext cx="1211037" cy="3541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130967</xdr:colOff>
      <xdr:row>0</xdr:row>
      <xdr:rowOff>138154</xdr:rowOff>
    </xdr:from>
    <xdr:to>
      <xdr:col>2</xdr:col>
      <xdr:colOff>446653</xdr:colOff>
      <xdr:row>2</xdr:row>
      <xdr:rowOff>16045</xdr:rowOff>
    </xdr:to>
    <xdr:pic>
      <xdr:nvPicPr>
        <xdr:cNvPr id="3" name="Picture 2">
          <a:hlinkClick r:id="rId1"/>
        </xdr:cNvPr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772317" y="138154"/>
          <a:ext cx="1211037" cy="3541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130967</xdr:colOff>
      <xdr:row>0</xdr:row>
      <xdr:rowOff>138154</xdr:rowOff>
    </xdr:from>
    <xdr:to>
      <xdr:col>2</xdr:col>
      <xdr:colOff>446653</xdr:colOff>
      <xdr:row>0</xdr:row>
      <xdr:rowOff>492296</xdr:rowOff>
    </xdr:to>
    <xdr:pic>
      <xdr:nvPicPr>
        <xdr:cNvPr id="3" name="Picture 2">
          <a:hlinkClick r:id="rId1"/>
        </xdr:cNvPr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772317" y="138154"/>
          <a:ext cx="1211037" cy="3541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130967</xdr:colOff>
      <xdr:row>0</xdr:row>
      <xdr:rowOff>138154</xdr:rowOff>
    </xdr:from>
    <xdr:to>
      <xdr:col>2</xdr:col>
      <xdr:colOff>103752</xdr:colOff>
      <xdr:row>0</xdr:row>
      <xdr:rowOff>492296</xdr:rowOff>
    </xdr:to>
    <xdr:pic>
      <xdr:nvPicPr>
        <xdr:cNvPr id="3" name="Picture 2">
          <a:hlinkClick r:id="rId1"/>
        </xdr:cNvPr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772317" y="138154"/>
          <a:ext cx="1211037" cy="3541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130967</xdr:colOff>
      <xdr:row>0</xdr:row>
      <xdr:rowOff>138154</xdr:rowOff>
    </xdr:from>
    <xdr:to>
      <xdr:col>3</xdr:col>
      <xdr:colOff>418122</xdr:colOff>
      <xdr:row>0</xdr:row>
      <xdr:rowOff>492296</xdr:rowOff>
    </xdr:to>
    <xdr:pic>
      <xdr:nvPicPr>
        <xdr:cNvPr id="3" name="Picture 2">
          <a:hlinkClick r:id="rId1"/>
        </xdr:cNvPr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772317" y="138154"/>
          <a:ext cx="1211037" cy="35414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</xdr:col>
      <xdr:colOff>608479</xdr:colOff>
      <xdr:row>3</xdr:row>
      <xdr:rowOff>18938</xdr:rowOff>
    </xdr:from>
    <xdr:to>
      <xdr:col>13</xdr:col>
      <xdr:colOff>112059</xdr:colOff>
      <xdr:row>27</xdr:row>
      <xdr:rowOff>52841</xdr:rowOff>
    </xdr:to>
    <xdr:graphicFrame>
      <xdr:nvGraphicFramePr>
        <xdr:cNvPr id="7" name="Chart 6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3</xdr:col>
      <xdr:colOff>802342</xdr:colOff>
      <xdr:row>12</xdr:row>
      <xdr:rowOff>73486</xdr:rowOff>
    </xdr:from>
    <xdr:to>
      <xdr:col>12</xdr:col>
      <xdr:colOff>313764</xdr:colOff>
      <xdr:row>12</xdr:row>
      <xdr:rowOff>73486</xdr:rowOff>
    </xdr:to>
    <xdr:cxnSp>
      <xdr:nvCxnSpPr>
        <xdr:cNvPr id="8" name="Straight Connector 7"/>
        <xdr:cNvCxnSpPr/>
      </xdr:nvCxnSpPr>
      <xdr:spPr bwMode="auto">
        <a:xfrm>
          <a:off x="2573992" y="2940511"/>
          <a:ext cx="5645522" cy="0"/>
        </a:xfrm>
        <a:prstGeom prst="line">
          <a:avLst/>
        </a:prstGeom>
        <a:ln w="28575">
          <a:solidFill>
            <a:schemeClr val="accent2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4</xdr:col>
      <xdr:colOff>416636</xdr:colOff>
      <xdr:row>9</xdr:row>
      <xdr:rowOff>154344</xdr:rowOff>
    </xdr:from>
    <xdr:to>
      <xdr:col>7</xdr:col>
      <xdr:colOff>206189</xdr:colOff>
      <xdr:row>12</xdr:row>
      <xdr:rowOff>56479</xdr:rowOff>
    </xdr:to>
    <xdr:sp textlink="$D$42">
      <xdr:nvSpPr>
        <xdr:cNvPr id="9" name="TextBox 8"/>
        <xdr:cNvSpPr txBox="1"/>
      </xdr:nvSpPr>
      <xdr:spPr bwMode="auto">
        <a:xfrm>
          <a:off x="3597986" y="2449869"/>
          <a:ext cx="1561203" cy="473634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fld id="{9B51A3EE-9CEE-4AF0-B990-EDAC98EAA7AB}" type="TxLink">
            <a:rPr lang="en-US" sz="1000" b="1" i="0" u="none" strike="noStrike">
              <a:solidFill>
                <a:schemeClr val="accent2"/>
              </a:solidFill>
              <a:latin typeface="Open Sans"/>
              <a:ea typeface="Open Sans"/>
              <a:cs typeface="Open Sans"/>
            </a:rPr>
            <a:t>Average Valuation: $3.93</a:t>
          </a:fld>
          <a:endParaRPr lang="en-US" sz="900" b="1">
            <a:solidFill>
              <a:schemeClr val="accent2"/>
            </a:solidFill>
            <a:latin typeface="Open Sans"/>
            <a:ea typeface="Open Sans"/>
            <a:cs typeface="Open San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130967</xdr:colOff>
      <xdr:row>0</xdr:row>
      <xdr:rowOff>138154</xdr:rowOff>
    </xdr:from>
    <xdr:to>
      <xdr:col>2</xdr:col>
      <xdr:colOff>103752</xdr:colOff>
      <xdr:row>0</xdr:row>
      <xdr:rowOff>492296</xdr:rowOff>
    </xdr:to>
    <xdr:pic>
      <xdr:nvPicPr>
        <xdr:cNvPr id="3" name="Picture 2">
          <a:hlinkClick r:id="rId1"/>
        </xdr:cNvPr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772317" y="138154"/>
          <a:ext cx="1211037" cy="3541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3-Statement%20Model/3-Statement%20Model%20(Templat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Outputs"/>
      <sheetName val="Outputs-R"/>
      <sheetName val="Inputs"/>
      <sheetName val="Inputs-R"/>
      <sheetName val="Model"/>
      <sheetName val="Model-R"/>
    </sheetNames>
    <sheetDataSet>
      <sheetData sheetId="0"/>
      <sheetData sheetId="1"/>
      <sheetData sheetId="2"/>
      <sheetData sheetId="3">
        <row r="62">
          <cell r="F62">
            <v>0.01</v>
          </cell>
        </row>
        <row r="63">
          <cell r="F63">
            <v>0.05</v>
          </cell>
        </row>
      </sheetData>
      <sheetData sheetId="4"/>
      <sheetData sheetId="5"/>
      <sheetData sheetId="6"/>
    </sheetDataSet>
  </externalBook>
</externalLink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1.xml"/><Relationship  Id="rId2" Type="http://schemas.openxmlformats.org/officeDocument/2006/relationships/drawing" Target="../drawings/drawing2.xml"/><Relationship  Id="rId3" Type="http://schemas.openxmlformats.org/officeDocument/2006/relationships/vmlDrawing" Target="../drawings/vmlDrawing2.vml"/><Relationship  Id="rId4" Type="http://schemas.openxmlformats.org/officeDocument/2006/relationships/vmlDrawing" Target="../drawings/vmlDrawing3.v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Relationship  Id="rId2" Type="http://schemas.openxmlformats.org/officeDocument/2006/relationships/vmlDrawing" Target="../drawings/vmlDrawing4.v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Relationship  Id="rId2" Type="http://schemas.openxmlformats.org/officeDocument/2006/relationships/vmlDrawing" Target="../drawings/vmlDrawing5.v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ctrlProp" Target="../ctrlProps/ctrlProp2.xml"/><Relationship  Id="rId2" Type="http://schemas.openxmlformats.org/officeDocument/2006/relationships/ctrlProp" Target="../ctrlProps/ctrlProp3.xml"/><Relationship  Id="rId3" Type="http://schemas.openxmlformats.org/officeDocument/2006/relationships/drawing" Target="../drawings/drawing5.xml"/><Relationship  Id="rId4" Type="http://schemas.openxmlformats.org/officeDocument/2006/relationships/vmlDrawing" Target="../drawings/vmlDrawing6.vml"/><Relationship  Id="rId5" Type="http://schemas.openxmlformats.org/officeDocument/2006/relationships/vmlDrawing" Target="../drawings/vmlDrawing7.v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Relationship 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/>
    <outlinePr applyStyles="0" summaryBelow="1" summaryRight="1" showOutlineSymbols="1"/>
    <pageSetUpPr autoPageBreaks="0" fitToPage="0"/>
  </sheetPr>
  <sheetViews>
    <sheetView showGridLines="0" zoomScale="100" workbookViewId="0">
      <pane ySplit="1" topLeftCell="A2" activePane="bottomLeft" state="frozen"/>
      <selection activeCell="F6" activeCellId="0" sqref="F6"/>
    </sheetView>
  </sheetViews>
  <sheetFormatPr defaultColWidth="9.140625" defaultRowHeight="16.5" outlineLevelRow="1"/>
  <cols>
    <col min="1" max="1" style="1" width="9.140625"/>
    <col customWidth="1" min="2" max="2" style="1" width="2.7109375"/>
    <col customWidth="1" min="3" max="3" style="1" width="8"/>
    <col customWidth="1" min="4" max="8" style="1" width="11.7109375"/>
    <col customWidth="1" min="9" max="9" style="1" width="6.7109375"/>
    <col customWidth="1" min="10" max="10" style="1" width="2.7109375"/>
    <col customWidth="1" min="11" max="11" style="1" width="8"/>
    <col customWidth="1" min="12" max="16" style="1" width="11.7109375"/>
    <col customWidth="1" min="17" max="17" style="1" width="3.7109375"/>
    <col min="18" max="18" style="1" width="9.140625"/>
    <col bestFit="1" customWidth="1" min="19" max="23" style="1" width="19.28515625"/>
    <col bestFit="1" customWidth="1" min="24" max="24" style="1" width="14.28515625"/>
    <col bestFit="1" customWidth="1" min="25" max="29" style="1" width="19.28515625"/>
    <col min="30" max="30" style="1" width="9.140625"/>
    <col bestFit="1" customWidth="1" min="31" max="31" style="1" width="11"/>
    <col min="32" max="16384" style="1" width="9.140625"/>
  </cols>
  <sheetData>
    <row r="1" ht="50.100000000000001" customHeight="1"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2"/>
      <c r="O1" s="2"/>
      <c r="P1" s="2"/>
      <c r="Q1" s="2"/>
      <c r="R1" s="4"/>
    </row>
    <row r="2" ht="15" customHeight="1"/>
    <row r="3" ht="15" customHeight="1">
      <c r="A3" s="5" t="s">
        <v>0</v>
      </c>
      <c r="B3" s="6" t="s">
        <v>1</v>
      </c>
      <c r="C3" s="7"/>
      <c r="D3" s="7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</row>
    <row r="4" ht="15" customHeight="1" outlineLevel="1">
      <c r="A4" s="5"/>
      <c r="B4" s="11"/>
      <c r="C4" s="12"/>
      <c r="D4" s="12"/>
      <c r="E4" s="13"/>
      <c r="F4" s="13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ht="15" customHeight="1" outlineLevel="1">
      <c r="A5" s="5"/>
      <c r="F5" s="14"/>
      <c r="G5" s="15"/>
      <c r="H5" s="14"/>
      <c r="I5" s="14"/>
      <c r="J5" s="16"/>
      <c r="K5" s="16"/>
      <c r="L5" s="17"/>
      <c r="M5" s="17"/>
      <c r="N5" s="17"/>
      <c r="O5" s="17"/>
    </row>
    <row r="6" ht="15" customHeight="1" outlineLevel="1">
      <c r="D6" s="17" t="s">
        <v>2</v>
      </c>
      <c r="F6" s="18">
        <f>Outputs!F6</f>
        <v>2</v>
      </c>
      <c r="L6" s="19" t="s">
        <v>3</v>
      </c>
      <c r="M6" s="20"/>
      <c r="N6" s="20"/>
      <c r="O6" s="20"/>
    </row>
    <row r="7" ht="15" customHeight="1" outlineLevel="1"/>
    <row r="8" ht="15" customHeight="1" outlineLevel="1"/>
    <row r="9" ht="15" customHeight="1" outlineLevel="1">
      <c r="D9" s="21" t="s">
        <v>4</v>
      </c>
      <c r="E9" s="20"/>
      <c r="F9" s="20"/>
      <c r="G9" s="20"/>
      <c r="H9" s="20"/>
      <c r="L9" s="21" t="s">
        <v>5</v>
      </c>
      <c r="M9" s="20"/>
      <c r="N9" s="20"/>
      <c r="O9" s="20"/>
    </row>
    <row r="10" s="4" customFormat="1" ht="15" customHeight="1" outlineLevel="1">
      <c r="D10" s="22"/>
      <c r="E10" s="22"/>
      <c r="F10" s="22"/>
      <c r="G10" s="22"/>
      <c r="H10" s="22"/>
      <c r="I10" s="14"/>
      <c r="J10" s="23"/>
      <c r="K10" s="23"/>
      <c r="L10" s="24"/>
      <c r="M10" s="24"/>
      <c r="N10" s="24"/>
      <c r="O10" s="24"/>
      <c r="V10" s="1"/>
      <c r="W10" s="25" t="s">
        <v>6</v>
      </c>
      <c r="X10" s="26" t="s">
        <v>7</v>
      </c>
      <c r="Y10" s="27" t="s">
        <v>8</v>
      </c>
    </row>
    <row r="11" ht="15" customHeight="1" outlineLevel="1">
      <c r="A11" s="23"/>
      <c r="D11" s="28"/>
      <c r="E11" s="4"/>
      <c r="F11" s="29" t="s">
        <v>9</v>
      </c>
      <c r="G11" s="29" t="s">
        <v>10</v>
      </c>
      <c r="H11" s="29" t="s">
        <v>10</v>
      </c>
      <c r="I11" s="30"/>
      <c r="J11" s="30"/>
      <c r="K11" s="30"/>
      <c r="W11" s="31">
        <f>Outputs!F13</f>
        <v>125713.00817128498</v>
      </c>
      <c r="X11" s="32">
        <f>F13</f>
        <v>125713.00817128498</v>
      </c>
      <c r="Y11" s="33">
        <f>IF(W11=0,0,IF(W11=X11,1,0))</f>
        <v>1</v>
      </c>
    </row>
    <row r="12" ht="15" customHeight="1" outlineLevel="1">
      <c r="A12" s="23"/>
      <c r="D12" s="4"/>
      <c r="E12" s="4"/>
      <c r="F12" s="29" t="s">
        <v>11</v>
      </c>
      <c r="G12" s="29" t="s">
        <v>11</v>
      </c>
      <c r="H12" s="29" t="s">
        <v>12</v>
      </c>
      <c r="I12" s="30"/>
      <c r="J12" s="30"/>
      <c r="K12" s="30"/>
      <c r="L12" s="17" t="s">
        <v>13</v>
      </c>
      <c r="M12" s="17"/>
      <c r="N12" s="34"/>
      <c r="O12" s="35">
        <f>'Inputs-R'!F107</f>
        <v>0.02</v>
      </c>
    </row>
    <row r="13" ht="15" customHeight="1" outlineLevel="1">
      <c r="A13" s="23"/>
      <c r="F13" s="36">
        <f>Model!H488</f>
        <v>125713.00817128498</v>
      </c>
      <c r="G13" s="37"/>
      <c r="H13" s="37"/>
      <c r="I13" s="30"/>
      <c r="J13" s="30"/>
      <c r="K13" s="30"/>
      <c r="L13" s="17" t="s">
        <v>14</v>
      </c>
      <c r="N13" s="34"/>
      <c r="O13" s="35">
        <f>'Inputs-R'!L84</f>
        <v>0.095866057127655321</v>
      </c>
      <c r="P13" s="38"/>
      <c r="S13" s="25" t="s">
        <v>6</v>
      </c>
      <c r="T13" s="26" t="s">
        <v>7</v>
      </c>
      <c r="U13" s="27" t="s">
        <v>8</v>
      </c>
      <c r="W13" s="39" t="s">
        <v>6</v>
      </c>
      <c r="X13" s="40" t="s">
        <v>7</v>
      </c>
      <c r="Y13" s="41" t="s">
        <v>8</v>
      </c>
      <c r="AA13" s="39" t="s">
        <v>6</v>
      </c>
      <c r="AB13" s="40" t="s">
        <v>7</v>
      </c>
      <c r="AC13" s="41" t="s">
        <v>8</v>
      </c>
      <c r="AE13" s="39" t="s">
        <v>6</v>
      </c>
      <c r="AF13" s="40" t="s">
        <v>7</v>
      </c>
      <c r="AG13" s="41" t="s">
        <v>8</v>
      </c>
    </row>
    <row r="14" ht="15" customHeight="1" outlineLevel="1">
      <c r="A14" s="23"/>
      <c r="B14" s="11"/>
      <c r="D14" s="42" t="s">
        <v>15</v>
      </c>
      <c r="E14" s="43">
        <v>1</v>
      </c>
      <c r="F14" s="44">
        <v>125713.00817128498</v>
      </c>
      <c r="G14" s="45">
        <f>Outputs!F14-$O$14</f>
        <v>157873.71457441716</v>
      </c>
      <c r="H14" s="46">
        <f>Outputs!G14/$O$15</f>
        <v>4.6161904846320807</v>
      </c>
      <c r="I14" s="47"/>
      <c r="J14" s="48"/>
      <c r="K14" s="48"/>
      <c r="L14" s="17" t="s">
        <v>16</v>
      </c>
      <c r="N14" s="49" t="str">
        <f>CONCATENATE("(End of ",'Model-R'!$H$5,")")</f>
        <v xml:space="preserve">(End of 2022)</v>
      </c>
      <c r="O14" s="50">
        <f>'Inputs-R'!L94</f>
        <v>18642</v>
      </c>
      <c r="P14" s="38"/>
      <c r="S14" s="31">
        <f>SUM(Outputs!E14:E16)</f>
        <v>6</v>
      </c>
      <c r="T14" s="32">
        <f>SUM(E14:E16)</f>
        <v>6</v>
      </c>
      <c r="U14" s="33">
        <f>IF(S14=0,0,IF(S14=T14,1,0))</f>
        <v>1</v>
      </c>
      <c r="W14" s="51">
        <f ca="1">IFERROR(_xlfn.FORMULATEXT(Outputs!F14),0)</f>
        <v>0</v>
      </c>
      <c r="X14" s="52">
        <f t="shared" ref="X14:X16" ca="1" si="0">IFERROR(_xlfn.FORMULATEXT(F14),0)</f>
        <v>0</v>
      </c>
      <c r="Y14" s="53">
        <f t="shared" ref="Y14:Y16" ca="1" si="1">IF(W14=0,0,IF(W14=X14,1,0))</f>
        <v>0</v>
      </c>
      <c r="Z14" s="54"/>
      <c r="AA14" s="51">
        <f>SUM(Outputs!G14:G16)</f>
        <v>333266.6630775003</v>
      </c>
      <c r="AB14" s="52">
        <f>SUM(G14:G16)</f>
        <v>333266.6630775003</v>
      </c>
      <c r="AC14" s="53">
        <f>IF(AA14=0,0,IF(AA14=AB14,1,0))</f>
        <v>1</v>
      </c>
      <c r="AE14" s="55">
        <f>SUM(Outputs!H14:H16)</f>
        <v>9.7446392712719394</v>
      </c>
      <c r="AF14" s="56">
        <f>SUM(H14:H16)</f>
        <v>9.7446392712719394</v>
      </c>
      <c r="AG14" s="53">
        <f>IF(AE14=0,0,IF(AE14=AF14,1,0))</f>
        <v>1</v>
      </c>
    </row>
    <row r="15" ht="15" customHeight="1" outlineLevel="1">
      <c r="A15" s="23"/>
      <c r="B15" s="11"/>
      <c r="D15" s="42" t="s">
        <v>17</v>
      </c>
      <c r="E15" s="43">
        <v>2</v>
      </c>
      <c r="F15" s="57">
        <v>125713.00817128498</v>
      </c>
      <c r="G15" s="36">
        <f>Outputs!F15-$O$14</f>
        <v>107071.00817128498</v>
      </c>
      <c r="H15" s="58">
        <f>Outputs!G15/$O$15</f>
        <v>3.130731233078508</v>
      </c>
      <c r="I15" s="47"/>
      <c r="J15" s="48"/>
      <c r="K15" s="48"/>
      <c r="L15" s="17" t="s">
        <v>18</v>
      </c>
      <c r="M15" s="17"/>
      <c r="N15" s="49" t="s">
        <v>19</v>
      </c>
      <c r="O15" s="50">
        <f>'Inputs-R'!F105</f>
        <v>34200</v>
      </c>
      <c r="P15" s="38"/>
      <c r="Q15" s="59"/>
      <c r="U15" s="60"/>
      <c r="W15" s="51">
        <f ca="1">IFERROR(_xlfn.FORMULATEXT(Outputs!F15),0)</f>
        <v>0</v>
      </c>
      <c r="X15" s="52">
        <f t="shared" ca="1" si="0"/>
        <v>0</v>
      </c>
      <c r="Y15" s="53">
        <f t="shared" ca="1" si="1"/>
        <v>0</v>
      </c>
      <c r="AA15" s="51"/>
      <c r="AB15" s="52"/>
      <c r="AC15" s="53"/>
      <c r="AE15" s="51"/>
      <c r="AF15" s="52"/>
      <c r="AG15" s="53"/>
    </row>
    <row r="16" s="4" customFormat="1" ht="15" customHeight="1" outlineLevel="1">
      <c r="B16" s="61"/>
      <c r="D16" s="42" t="s">
        <v>20</v>
      </c>
      <c r="E16" s="43">
        <v>3</v>
      </c>
      <c r="F16" s="62">
        <v>125713.00817128498</v>
      </c>
      <c r="G16" s="63">
        <f>Outputs!F16-$O$14</f>
        <v>68321.940331798192</v>
      </c>
      <c r="H16" s="64">
        <f>Outputs!G16/$O$15</f>
        <v>1.9977175535613507</v>
      </c>
      <c r="I16" s="65"/>
      <c r="J16" s="65"/>
      <c r="L16" s="66" t="s">
        <v>21</v>
      </c>
      <c r="M16" s="67"/>
      <c r="N16" s="68" t="s">
        <v>22</v>
      </c>
      <c r="O16" s="69">
        <f>'Inputs-R'!F106</f>
        <v>2.23</v>
      </c>
      <c r="P16" s="38"/>
      <c r="U16" s="60"/>
      <c r="W16" s="70">
        <f ca="1">IFERROR(_xlfn.FORMULATEXT(Outputs!F16),0)</f>
        <v>0</v>
      </c>
      <c r="X16" s="71">
        <f t="shared" ca="1" si="0"/>
        <v>0</v>
      </c>
      <c r="Y16" s="72">
        <f t="shared" ca="1" si="1"/>
        <v>0</v>
      </c>
      <c r="AA16" s="70"/>
      <c r="AB16" s="71"/>
      <c r="AC16" s="72"/>
      <c r="AE16" s="70"/>
      <c r="AF16" s="71"/>
      <c r="AG16" s="72"/>
    </row>
    <row r="17" s="4" customFormat="1" ht="15" customHeight="1" outlineLevel="1">
      <c r="B17" s="73"/>
      <c r="E17" s="1"/>
      <c r="F17" s="1"/>
      <c r="G17" s="1"/>
      <c r="H17" s="1"/>
      <c r="I17" s="65"/>
      <c r="J17" s="65"/>
      <c r="L17" s="17"/>
      <c r="M17" s="1"/>
      <c r="N17" s="1"/>
      <c r="O17" s="34"/>
      <c r="P17" s="74"/>
      <c r="Q17" s="59"/>
      <c r="U17" s="60"/>
      <c r="Y17" s="60"/>
      <c r="AC17" s="60"/>
      <c r="AG17" s="60"/>
    </row>
    <row r="18" ht="15" customHeight="1" outlineLevel="1">
      <c r="U18" s="75">
        <f>U14</f>
        <v>1</v>
      </c>
      <c r="Y18" s="75">
        <f ca="1">IF(SUM(Y14:Y16)=3,1,0)</f>
        <v>0</v>
      </c>
      <c r="AC18" s="75">
        <f>AC14</f>
        <v>1</v>
      </c>
      <c r="AG18" s="75">
        <f>AG14</f>
        <v>1</v>
      </c>
    </row>
    <row r="19" ht="15" customHeight="1" outlineLevel="1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15" customHeight="1" outlineLevel="1">
      <c r="D20" s="76" t="s">
        <v>23</v>
      </c>
      <c r="E20" s="20"/>
      <c r="F20" s="20"/>
      <c r="G20" s="20"/>
      <c r="H20" s="20"/>
      <c r="K20" s="4"/>
      <c r="L20" s="77" t="s">
        <v>24</v>
      </c>
      <c r="M20" s="78"/>
      <c r="N20" s="78"/>
      <c r="O20" s="78"/>
      <c r="P20" s="78"/>
      <c r="S20" s="25" t="s">
        <v>6</v>
      </c>
      <c r="T20" s="26" t="s">
        <v>7</v>
      </c>
      <c r="U20" s="27" t="s">
        <v>8</v>
      </c>
    </row>
    <row r="21" ht="15" customHeight="1" outlineLevel="1">
      <c r="D21" s="24"/>
      <c r="E21" s="24"/>
      <c r="F21" s="24"/>
      <c r="G21" s="24"/>
      <c r="H21" s="24"/>
      <c r="K21" s="4"/>
      <c r="L21" s="22"/>
      <c r="M21" s="22"/>
      <c r="N21" s="22"/>
      <c r="O21" s="22"/>
      <c r="P21" s="22"/>
      <c r="S21" s="31">
        <f>Outputs!C23</f>
        <v>125713.00817128498</v>
      </c>
      <c r="T21" s="32">
        <f>C23</f>
        <v>125713.00817128498</v>
      </c>
      <c r="U21" s="33">
        <f>IF(S21=0,0,IF(S21=T21,1,0))</f>
        <v>1</v>
      </c>
    </row>
    <row r="22" s="79" customFormat="1" ht="15" customHeight="1" outlineLevel="1">
      <c r="C22" s="80"/>
      <c r="D22" s="81" t="s">
        <v>13</v>
      </c>
      <c r="E22" s="20"/>
      <c r="F22" s="20"/>
      <c r="G22" s="20"/>
      <c r="H22" s="20"/>
      <c r="J22" s="1"/>
      <c r="K22" s="82"/>
      <c r="L22" s="83" t="s">
        <v>13</v>
      </c>
      <c r="M22" s="78"/>
      <c r="N22" s="78"/>
      <c r="O22" s="78"/>
      <c r="P22" s="78"/>
      <c r="Q22" s="1"/>
    </row>
    <row r="23" ht="15" customHeight="1" outlineLevel="1">
      <c r="C23" s="84">
        <f>'Model-R'!H399</f>
        <v>125713.00817128498</v>
      </c>
      <c r="D23" s="85">
        <f>E23-0.005</f>
        <v>0.0099999999999999985</v>
      </c>
      <c r="E23" s="85">
        <f>F23-0.005</f>
        <v>0.014999999999999999</v>
      </c>
      <c r="F23" s="85">
        <f>'Inputs-R'!$F$107</f>
        <v>0.02</v>
      </c>
      <c r="G23" s="85">
        <f>F23+0.005</f>
        <v>0.025000000000000001</v>
      </c>
      <c r="H23" s="85">
        <f>G23+0.005</f>
        <v>0.030000000000000002</v>
      </c>
      <c r="I23" s="4"/>
      <c r="K23" s="86"/>
      <c r="L23" s="85">
        <f>D23</f>
        <v>0.0099999999999999985</v>
      </c>
      <c r="M23" s="85">
        <f>E23</f>
        <v>0.014999999999999999</v>
      </c>
      <c r="N23" s="85">
        <f>F23</f>
        <v>0.02</v>
      </c>
      <c r="O23" s="85">
        <f>G23</f>
        <v>0.025000000000000001</v>
      </c>
      <c r="P23" s="85">
        <f>H23</f>
        <v>0.030000000000000002</v>
      </c>
      <c r="S23" s="39" t="s">
        <v>6</v>
      </c>
      <c r="T23" s="40"/>
      <c r="U23" s="40"/>
      <c r="V23" s="87"/>
      <c r="W23" s="88"/>
      <c r="Y23" s="39" t="s">
        <v>7</v>
      </c>
      <c r="Z23" s="40"/>
      <c r="AA23" s="40"/>
      <c r="AB23" s="87"/>
      <c r="AC23" s="88"/>
      <c r="AE23" s="39" t="s">
        <v>8</v>
      </c>
      <c r="AF23" s="40"/>
      <c r="AG23" s="40"/>
      <c r="AH23" s="87"/>
      <c r="AI23" s="88"/>
    </row>
    <row r="24" ht="15" customHeight="1" outlineLevel="1">
      <c r="B24" s="89" t="s">
        <v>14</v>
      </c>
      <c r="C24" s="85">
        <f t="shared" ref="C24:C25" si="2">C25-0.01</f>
        <v>0.075866057127655331</v>
      </c>
      <c r="D24" s="90">
        <v>125713.00817128498</v>
      </c>
      <c r="E24" s="91">
        <v>125713.00817128498</v>
      </c>
      <c r="F24" s="91">
        <v>125713.00817128498</v>
      </c>
      <c r="G24" s="91">
        <v>125713.00817128498</v>
      </c>
      <c r="H24" s="92">
        <v>125713.00817128498</v>
      </c>
      <c r="I24" s="4"/>
      <c r="J24" s="89" t="s">
        <v>14</v>
      </c>
      <c r="K24" s="85">
        <f t="shared" ref="K24:K85" si="3">C24</f>
        <v>0.075866057127655331</v>
      </c>
      <c r="L24" s="93">
        <f>Outputs!D37/$O$15</f>
        <v>3.130731233078508</v>
      </c>
      <c r="M24" s="94">
        <f>Outputs!E37/$O$15</f>
        <v>3.130731233078508</v>
      </c>
      <c r="N24" s="94">
        <f>Outputs!F37/$O$15</f>
        <v>3.130731233078508</v>
      </c>
      <c r="O24" s="94">
        <f>Outputs!G37/$O$15</f>
        <v>3.130731233078508</v>
      </c>
      <c r="P24" s="95">
        <f>Outputs!H37/$O$15</f>
        <v>3.130731233078508</v>
      </c>
      <c r="S24" s="51">
        <f ca="1">IFERROR(_xlfn.FORMULATEXT(Outputs!D24),0)</f>
        <v>0</v>
      </c>
      <c r="T24" s="52">
        <f ca="1">IFERROR(_xlfn.FORMULATEXT(Outputs!E24),0)</f>
        <v>0</v>
      </c>
      <c r="U24" s="52">
        <f ca="1">IFERROR(_xlfn.FORMULATEXT(Outputs!F24),0)</f>
        <v>0</v>
      </c>
      <c r="V24" s="52">
        <f ca="1">IFERROR(_xlfn.FORMULATEXT(Outputs!G24),0)</f>
        <v>0</v>
      </c>
      <c r="W24" s="96">
        <f ca="1">IFERROR(_xlfn.FORMULATEXT(Outputs!H24),0)</f>
        <v>0</v>
      </c>
      <c r="Y24" s="51">
        <f t="shared" ref="Y24:Y28" ca="1" si="4">IFERROR(_xlfn.FORMULATEXT(D24),0)</f>
        <v>0</v>
      </c>
      <c r="Z24" s="52">
        <f t="shared" ref="Z24:Z72" ca="1" si="5">IFERROR(_xlfn.FORMULATEXT(E24),0)</f>
        <v>0</v>
      </c>
      <c r="AA24" s="52">
        <f t="shared" ref="AA24:AA72" ca="1" si="6">IFERROR(_xlfn.FORMULATEXT(F24),0)</f>
        <v>0</v>
      </c>
      <c r="AB24" s="52">
        <f t="shared" ref="AB24:AB72" ca="1" si="7">IFERROR(_xlfn.FORMULATEXT(G24),0)</f>
        <v>0</v>
      </c>
      <c r="AC24" s="96">
        <f t="shared" ref="AC24:AC72" ca="1" si="8">IFERROR(_xlfn.FORMULATEXT(H24),0)</f>
        <v>0</v>
      </c>
      <c r="AE24" s="97">
        <f t="shared" ref="AE24:AE28" ca="1" si="9">IF(S24=Y24,1,0)</f>
        <v>1</v>
      </c>
      <c r="AF24" s="98">
        <f t="shared" ref="AF24:AI72" ca="1" si="10">IF(T24=Z24,1,0)</f>
        <v>1</v>
      </c>
      <c r="AG24" s="98">
        <f t="shared" ca="1" si="10"/>
        <v>1</v>
      </c>
      <c r="AH24" s="98">
        <f t="shared" ca="1" si="10"/>
        <v>1</v>
      </c>
      <c r="AI24" s="53">
        <f t="shared" ca="1" si="10"/>
        <v>1</v>
      </c>
    </row>
    <row r="25" ht="15" customHeight="1" outlineLevel="1">
      <c r="B25" s="89"/>
      <c r="C25" s="85">
        <f t="shared" si="2"/>
        <v>0.085866057127655326</v>
      </c>
      <c r="D25" s="99">
        <v>125713.00817128498</v>
      </c>
      <c r="E25" s="100">
        <v>125713.00817128498</v>
      </c>
      <c r="F25" s="100">
        <v>125713.00817128498</v>
      </c>
      <c r="G25" s="100">
        <v>125713.00817128498</v>
      </c>
      <c r="H25" s="101">
        <v>125713.00817128498</v>
      </c>
      <c r="I25" s="4"/>
      <c r="J25" s="89"/>
      <c r="K25" s="85">
        <f t="shared" si="3"/>
        <v>0.085866057127655326</v>
      </c>
      <c r="L25" s="102">
        <f>Outputs!D38/$O$15</f>
        <v>3.130731233078508</v>
      </c>
      <c r="M25" s="103">
        <f>Outputs!E38/$O$15</f>
        <v>3.130731233078508</v>
      </c>
      <c r="N25" s="103">
        <f>Outputs!F38/$O$15</f>
        <v>3.130731233078508</v>
      </c>
      <c r="O25" s="103">
        <f>Outputs!G38/$O$15</f>
        <v>3.130731233078508</v>
      </c>
      <c r="P25" s="104">
        <f>Outputs!H38/$O$15</f>
        <v>3.130731233078508</v>
      </c>
      <c r="S25" s="51">
        <f ca="1">IFERROR(_xlfn.FORMULATEXT(Outputs!D25),0)</f>
        <v>0</v>
      </c>
      <c r="T25" s="52">
        <f ca="1">IFERROR(_xlfn.FORMULATEXT(Outputs!E25),0)</f>
        <v>0</v>
      </c>
      <c r="U25" s="52">
        <f ca="1">IFERROR(_xlfn.FORMULATEXT(Outputs!F25),0)</f>
        <v>0</v>
      </c>
      <c r="V25" s="52">
        <f ca="1">IFERROR(_xlfn.FORMULATEXT(Outputs!G25),0)</f>
        <v>0</v>
      </c>
      <c r="W25" s="96">
        <f ca="1">IFERROR(_xlfn.FORMULATEXT(Outputs!H25),0)</f>
        <v>0</v>
      </c>
      <c r="Y25" s="51">
        <f t="shared" ca="1" si="4"/>
        <v>0</v>
      </c>
      <c r="Z25" s="52">
        <f t="shared" ca="1" si="5"/>
        <v>0</v>
      </c>
      <c r="AA25" s="52">
        <f t="shared" ca="1" si="6"/>
        <v>0</v>
      </c>
      <c r="AB25" s="52">
        <f t="shared" ca="1" si="7"/>
        <v>0</v>
      </c>
      <c r="AC25" s="96">
        <f t="shared" ca="1" si="8"/>
        <v>0</v>
      </c>
      <c r="AE25" s="97">
        <f t="shared" ca="1" si="9"/>
        <v>1</v>
      </c>
      <c r="AF25" s="98">
        <f t="shared" ca="1" si="10"/>
        <v>1</v>
      </c>
      <c r="AG25" s="98">
        <f t="shared" ref="AG25:AG72" ca="1" si="11">IF(U25=AA25,1,0)</f>
        <v>1</v>
      </c>
      <c r="AH25" s="98">
        <f t="shared" ref="AH25:AH72" ca="1" si="12">IF(V25=AB25,1,0)</f>
        <v>1</v>
      </c>
      <c r="AI25" s="53">
        <f t="shared" ref="AI25:AI72" ca="1" si="13">IF(W25=AC25,1,0)</f>
        <v>1</v>
      </c>
    </row>
    <row r="26" ht="15" customHeight="1" outlineLevel="1">
      <c r="B26" s="89"/>
      <c r="C26" s="85">
        <f>'Inputs-R'!$L$84</f>
        <v>0.095866057127655321</v>
      </c>
      <c r="D26" s="99">
        <v>125713.00817128498</v>
      </c>
      <c r="E26" s="100">
        <v>125713.00817128498</v>
      </c>
      <c r="F26" s="105">
        <v>125713.00817128498</v>
      </c>
      <c r="G26" s="100">
        <v>125713.00817128498</v>
      </c>
      <c r="H26" s="101">
        <v>125713.00817128498</v>
      </c>
      <c r="I26" s="4"/>
      <c r="J26" s="89"/>
      <c r="K26" s="85">
        <f t="shared" si="3"/>
        <v>0.095866057127655321</v>
      </c>
      <c r="L26" s="102">
        <f>Outputs!D39/$O$15</f>
        <v>3.130731233078508</v>
      </c>
      <c r="M26" s="103">
        <f>Outputs!E39/$O$15</f>
        <v>3.130731233078508</v>
      </c>
      <c r="N26" s="106">
        <f>Outputs!F39/$O$15</f>
        <v>3.130731233078508</v>
      </c>
      <c r="O26" s="103">
        <f>Outputs!G39/$O$15</f>
        <v>3.130731233078508</v>
      </c>
      <c r="P26" s="104">
        <f>Outputs!H39/$O$15</f>
        <v>3.130731233078508</v>
      </c>
      <c r="S26" s="51">
        <f ca="1">IFERROR(_xlfn.FORMULATEXT(Outputs!D26),0)</f>
        <v>0</v>
      </c>
      <c r="T26" s="52">
        <f ca="1">IFERROR(_xlfn.FORMULATEXT(Outputs!E26),0)</f>
        <v>0</v>
      </c>
      <c r="U26" s="52">
        <f ca="1">IFERROR(_xlfn.FORMULATEXT(Outputs!F26),0)</f>
        <v>0</v>
      </c>
      <c r="V26" s="52">
        <f ca="1">IFERROR(_xlfn.FORMULATEXT(Outputs!G26),0)</f>
        <v>0</v>
      </c>
      <c r="W26" s="96">
        <f ca="1">IFERROR(_xlfn.FORMULATEXT(Outputs!H26),0)</f>
        <v>0</v>
      </c>
      <c r="Y26" s="51">
        <f t="shared" ca="1" si="4"/>
        <v>0</v>
      </c>
      <c r="Z26" s="52">
        <f t="shared" ca="1" si="5"/>
        <v>0</v>
      </c>
      <c r="AA26" s="52">
        <f t="shared" ca="1" si="6"/>
        <v>0</v>
      </c>
      <c r="AB26" s="52">
        <f t="shared" ca="1" si="7"/>
        <v>0</v>
      </c>
      <c r="AC26" s="96">
        <f t="shared" ca="1" si="8"/>
        <v>0</v>
      </c>
      <c r="AE26" s="97">
        <f t="shared" ca="1" si="9"/>
        <v>1</v>
      </c>
      <c r="AF26" s="98">
        <f t="shared" ca="1" si="10"/>
        <v>1</v>
      </c>
      <c r="AG26" s="98">
        <f t="shared" ca="1" si="11"/>
        <v>1</v>
      </c>
      <c r="AH26" s="98">
        <f t="shared" ca="1" si="12"/>
        <v>1</v>
      </c>
      <c r="AI26" s="53">
        <f t="shared" ca="1" si="13"/>
        <v>1</v>
      </c>
    </row>
    <row r="27" ht="15" customHeight="1" outlineLevel="1">
      <c r="B27" s="89"/>
      <c r="C27" s="85">
        <f t="shared" ref="C27:C28" si="14">C26+0.01</f>
        <v>0.10586605712765532</v>
      </c>
      <c r="D27" s="99">
        <v>125713.00817128498</v>
      </c>
      <c r="E27" s="100">
        <v>125713.00817128498</v>
      </c>
      <c r="F27" s="100">
        <v>125713.00817128498</v>
      </c>
      <c r="G27" s="100">
        <v>125713.00817128498</v>
      </c>
      <c r="H27" s="101">
        <v>125713.00817128498</v>
      </c>
      <c r="I27" s="4"/>
      <c r="J27" s="89"/>
      <c r="K27" s="85">
        <f t="shared" si="3"/>
        <v>0.10586605712765532</v>
      </c>
      <c r="L27" s="102">
        <f>Outputs!D40/$O$15</f>
        <v>3.130731233078508</v>
      </c>
      <c r="M27" s="103">
        <f>Outputs!E40/$O$15</f>
        <v>3.130731233078508</v>
      </c>
      <c r="N27" s="103">
        <f>Outputs!F40/$O$15</f>
        <v>3.130731233078508</v>
      </c>
      <c r="O27" s="103">
        <f>Outputs!G40/$O$15</f>
        <v>3.130731233078508</v>
      </c>
      <c r="P27" s="104">
        <f>Outputs!H40/$O$15</f>
        <v>3.130731233078508</v>
      </c>
      <c r="S27" s="51">
        <f ca="1">IFERROR(_xlfn.FORMULATEXT(Outputs!D27),0)</f>
        <v>0</v>
      </c>
      <c r="T27" s="52">
        <f ca="1">IFERROR(_xlfn.FORMULATEXT(Outputs!E27),0)</f>
        <v>0</v>
      </c>
      <c r="U27" s="52">
        <f ca="1">IFERROR(_xlfn.FORMULATEXT(Outputs!F27),0)</f>
        <v>0</v>
      </c>
      <c r="V27" s="52">
        <f ca="1">IFERROR(_xlfn.FORMULATEXT(Outputs!G27),0)</f>
        <v>0</v>
      </c>
      <c r="W27" s="96">
        <f ca="1">IFERROR(_xlfn.FORMULATEXT(Outputs!H27),0)</f>
        <v>0</v>
      </c>
      <c r="Y27" s="51">
        <f t="shared" ca="1" si="4"/>
        <v>0</v>
      </c>
      <c r="Z27" s="52">
        <f t="shared" ca="1" si="5"/>
        <v>0</v>
      </c>
      <c r="AA27" s="52">
        <f t="shared" ca="1" si="6"/>
        <v>0</v>
      </c>
      <c r="AB27" s="52">
        <f t="shared" ca="1" si="7"/>
        <v>0</v>
      </c>
      <c r="AC27" s="96">
        <f t="shared" ca="1" si="8"/>
        <v>0</v>
      </c>
      <c r="AE27" s="97">
        <f t="shared" ca="1" si="9"/>
        <v>1</v>
      </c>
      <c r="AF27" s="98">
        <f t="shared" ca="1" si="10"/>
        <v>1</v>
      </c>
      <c r="AG27" s="98">
        <f t="shared" ca="1" si="11"/>
        <v>1</v>
      </c>
      <c r="AH27" s="98">
        <f t="shared" ca="1" si="12"/>
        <v>1</v>
      </c>
      <c r="AI27" s="53">
        <f t="shared" ca="1" si="13"/>
        <v>1</v>
      </c>
    </row>
    <row r="28" ht="15" customHeight="1" outlineLevel="1">
      <c r="B28" s="89"/>
      <c r="C28" s="85">
        <f t="shared" si="14"/>
        <v>0.11586605712765531</v>
      </c>
      <c r="D28" s="107">
        <v>125713.00817128498</v>
      </c>
      <c r="E28" s="108">
        <v>125713.00817128498</v>
      </c>
      <c r="F28" s="108">
        <v>125713.00817128498</v>
      </c>
      <c r="G28" s="108">
        <v>125713.00817128498</v>
      </c>
      <c r="H28" s="109">
        <v>125713.00817128498</v>
      </c>
      <c r="I28" s="4"/>
      <c r="J28" s="89"/>
      <c r="K28" s="85">
        <f t="shared" si="3"/>
        <v>0.11586605712765531</v>
      </c>
      <c r="L28" s="110">
        <f>Outputs!D41/$O$15</f>
        <v>3.130731233078508</v>
      </c>
      <c r="M28" s="111">
        <f>Outputs!E41/$O$15</f>
        <v>3.130731233078508</v>
      </c>
      <c r="N28" s="111">
        <f>Outputs!F41/$O$15</f>
        <v>3.130731233078508</v>
      </c>
      <c r="O28" s="111">
        <f>Outputs!G41/$O$15</f>
        <v>3.130731233078508</v>
      </c>
      <c r="P28" s="112">
        <f>Outputs!H41/$O$15</f>
        <v>3.130731233078508</v>
      </c>
      <c r="S28" s="70">
        <f ca="1">IFERROR(_xlfn.FORMULATEXT(Outputs!D28),0)</f>
        <v>0</v>
      </c>
      <c r="T28" s="71">
        <f ca="1">IFERROR(_xlfn.FORMULATEXT(Outputs!E28),0)</f>
        <v>0</v>
      </c>
      <c r="U28" s="71">
        <f ca="1">IFERROR(_xlfn.FORMULATEXT(Outputs!F28),0)</f>
        <v>0</v>
      </c>
      <c r="V28" s="71">
        <f ca="1">IFERROR(_xlfn.FORMULATEXT(Outputs!G28),0)</f>
        <v>0</v>
      </c>
      <c r="W28" s="113">
        <f ca="1">IFERROR(_xlfn.FORMULATEXT(Outputs!H28),0)</f>
        <v>0</v>
      </c>
      <c r="Y28" s="70">
        <f t="shared" ca="1" si="4"/>
        <v>0</v>
      </c>
      <c r="Z28" s="71">
        <f t="shared" ca="1" si="5"/>
        <v>0</v>
      </c>
      <c r="AA28" s="71">
        <f t="shared" ca="1" si="6"/>
        <v>0</v>
      </c>
      <c r="AB28" s="71">
        <f t="shared" ca="1" si="7"/>
        <v>0</v>
      </c>
      <c r="AC28" s="113">
        <f t="shared" ca="1" si="8"/>
        <v>0</v>
      </c>
      <c r="AE28" s="114">
        <f t="shared" ca="1" si="9"/>
        <v>1</v>
      </c>
      <c r="AF28" s="115">
        <f t="shared" ca="1" si="10"/>
        <v>1</v>
      </c>
      <c r="AG28" s="115">
        <f t="shared" ca="1" si="11"/>
        <v>1</v>
      </c>
      <c r="AH28" s="115">
        <f t="shared" ca="1" si="12"/>
        <v>1</v>
      </c>
      <c r="AI28" s="72">
        <f t="shared" ca="1" si="13"/>
        <v>1</v>
      </c>
    </row>
    <row r="29" ht="15" customHeight="1" outlineLevel="1">
      <c r="C29" s="4"/>
      <c r="D29" s="4"/>
      <c r="E29" s="4"/>
      <c r="F29" s="4"/>
      <c r="G29" s="4"/>
      <c r="H29" s="4"/>
      <c r="I29" s="4"/>
      <c r="AE29" s="60"/>
      <c r="AF29" s="60"/>
      <c r="AG29" s="60"/>
      <c r="AH29" s="60"/>
      <c r="AI29" s="60"/>
    </row>
    <row r="30" ht="15" customHeight="1" outlineLevel="1">
      <c r="C30" s="4"/>
      <c r="D30" s="4"/>
      <c r="E30" s="4"/>
      <c r="F30" s="4"/>
      <c r="G30" s="4"/>
      <c r="H30" s="4"/>
      <c r="I30" s="4"/>
      <c r="J30" s="4"/>
      <c r="K30" s="4"/>
      <c r="L30" s="77"/>
      <c r="M30" s="78"/>
      <c r="N30" s="78"/>
      <c r="O30" s="78"/>
      <c r="P30" s="78"/>
      <c r="AE30" s="75">
        <f ca="1">IF(SUM(AE24:AI28)=25,1,0)</f>
        <v>1</v>
      </c>
      <c r="AF30" s="60"/>
      <c r="AG30" s="60"/>
      <c r="AH30" s="60"/>
      <c r="AI30" s="60"/>
    </row>
    <row r="31" ht="15" customHeight="1" outlineLevel="1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15" customHeight="1" outlineLevel="1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t="15" customHeight="1" outlineLevel="1">
      <c r="D33" s="76" t="s">
        <v>25</v>
      </c>
      <c r="E33" s="20"/>
      <c r="F33" s="20"/>
      <c r="G33" s="20"/>
      <c r="H33" s="20"/>
      <c r="I33" s="4"/>
      <c r="J33" s="4"/>
      <c r="K33" s="4"/>
      <c r="L33" s="77" t="s">
        <v>26</v>
      </c>
      <c r="M33" s="78"/>
      <c r="N33" s="78"/>
      <c r="O33" s="78"/>
      <c r="P33" s="78"/>
    </row>
    <row r="34" ht="15" customHeight="1" outlineLevel="1">
      <c r="D34" s="24"/>
      <c r="E34" s="24"/>
      <c r="F34" s="24"/>
      <c r="G34" s="24"/>
      <c r="H34" s="24"/>
      <c r="I34" s="4"/>
      <c r="J34" s="4"/>
      <c r="K34" s="4"/>
      <c r="L34" s="22"/>
      <c r="M34" s="22"/>
      <c r="N34" s="22"/>
      <c r="O34" s="22"/>
      <c r="P34" s="22"/>
    </row>
    <row r="35" ht="15" customHeight="1" outlineLevel="1">
      <c r="B35" s="79"/>
      <c r="C35" s="79"/>
      <c r="D35" s="81" t="s">
        <v>13</v>
      </c>
      <c r="E35" s="20"/>
      <c r="F35" s="20"/>
      <c r="G35" s="20"/>
      <c r="H35" s="20"/>
      <c r="I35" s="82"/>
      <c r="J35" s="82"/>
      <c r="K35" s="82"/>
      <c r="L35" s="83" t="s">
        <v>13</v>
      </c>
      <c r="M35" s="78"/>
      <c r="N35" s="78"/>
      <c r="O35" s="78"/>
      <c r="P35" s="78"/>
    </row>
    <row r="36" ht="15" customHeight="1" outlineLevel="1">
      <c r="B36" s="4"/>
      <c r="C36" s="116"/>
      <c r="D36" s="117">
        <f>D23</f>
        <v>0.0099999999999999985</v>
      </c>
      <c r="E36" s="117">
        <f>E23</f>
        <v>0.014999999999999999</v>
      </c>
      <c r="F36" s="117">
        <f>F23</f>
        <v>0.02</v>
      </c>
      <c r="G36" s="117">
        <f>G23</f>
        <v>0.025000000000000001</v>
      </c>
      <c r="H36" s="117">
        <f>H23</f>
        <v>0.030000000000000002</v>
      </c>
      <c r="I36" s="4"/>
      <c r="J36" s="4"/>
      <c r="K36" s="116"/>
      <c r="L36" s="85">
        <f>D36</f>
        <v>0.0099999999999999985</v>
      </c>
      <c r="M36" s="85">
        <f>E36</f>
        <v>0.014999999999999999</v>
      </c>
      <c r="N36" s="85">
        <f>F36</f>
        <v>0.02</v>
      </c>
      <c r="O36" s="85">
        <f>G36</f>
        <v>0.025000000000000001</v>
      </c>
      <c r="P36" s="85">
        <f>H36</f>
        <v>0.030000000000000002</v>
      </c>
      <c r="W36" s="25" t="s">
        <v>6</v>
      </c>
      <c r="X36" s="26" t="s">
        <v>7</v>
      </c>
      <c r="Y36" s="27" t="s">
        <v>8</v>
      </c>
    </row>
    <row r="37" ht="15" customHeight="1" outlineLevel="1">
      <c r="B37" s="118" t="s">
        <v>14</v>
      </c>
      <c r="C37" s="85">
        <f t="shared" ref="C37:C41" si="15">C24</f>
        <v>0.075866057127655331</v>
      </c>
      <c r="D37" s="99">
        <f>Outputs!D24-$O$14</f>
        <v>107071.00817128498</v>
      </c>
      <c r="E37" s="100">
        <f>Outputs!E24-$O$14</f>
        <v>107071.00817128498</v>
      </c>
      <c r="F37" s="100">
        <f>Outputs!F24-$O$14</f>
        <v>107071.00817128498</v>
      </c>
      <c r="G37" s="91">
        <f>Outputs!G24-$O$14</f>
        <v>107071.00817128498</v>
      </c>
      <c r="H37" s="92">
        <f>Outputs!H24-$O$14</f>
        <v>107071.00817128498</v>
      </c>
      <c r="I37" s="4"/>
      <c r="J37" s="118" t="s">
        <v>14</v>
      </c>
      <c r="K37" s="85">
        <f t="shared" si="3"/>
        <v>0.075866057127655331</v>
      </c>
      <c r="L37" s="119">
        <f>Outputs!L24/$O$16-1</f>
        <v>0.40391535115628163</v>
      </c>
      <c r="M37" s="120">
        <f>Outputs!M24/$O$16-1</f>
        <v>0.40391535115628163</v>
      </c>
      <c r="N37" s="120">
        <f>Outputs!N24/$O$16-1</f>
        <v>0.40391535115628163</v>
      </c>
      <c r="O37" s="120">
        <f>Outputs!O24/$O$16-1</f>
        <v>0.40391535115628163</v>
      </c>
      <c r="P37" s="121">
        <f>Outputs!P24/$O$16-1</f>
        <v>0.40391535115628163</v>
      </c>
      <c r="W37" s="122">
        <f>SUM(Outputs!L24:P28)</f>
        <v>78.26828082696268</v>
      </c>
      <c r="X37" s="122">
        <f>SUM(L24:P28)</f>
        <v>78.26828082696268</v>
      </c>
      <c r="Y37" s="33">
        <f>IF(W37=0,0,IF(W37=X37,1,0))</f>
        <v>1</v>
      </c>
    </row>
    <row r="38" ht="15" customHeight="1" outlineLevel="1">
      <c r="B38" s="118"/>
      <c r="C38" s="85">
        <f t="shared" si="15"/>
        <v>0.085866057127655326</v>
      </c>
      <c r="D38" s="99">
        <f>Outputs!D25-$O$14</f>
        <v>107071.00817128498</v>
      </c>
      <c r="E38" s="100">
        <f>Outputs!E25-$O$14</f>
        <v>107071.00817128498</v>
      </c>
      <c r="F38" s="100">
        <f>Outputs!F25-$O$14</f>
        <v>107071.00817128498</v>
      </c>
      <c r="G38" s="100">
        <f>Outputs!G25-$O$14</f>
        <v>107071.00817128498</v>
      </c>
      <c r="H38" s="101">
        <f>Outputs!H25-$O$14</f>
        <v>107071.00817128498</v>
      </c>
      <c r="I38" s="4"/>
      <c r="J38" s="118"/>
      <c r="K38" s="85">
        <f t="shared" si="3"/>
        <v>0.085866057127655326</v>
      </c>
      <c r="L38" s="123">
        <f>Outputs!L25/$O$16-1</f>
        <v>0.40391535115628163</v>
      </c>
      <c r="M38" s="124">
        <f>Outputs!M25/$O$16-1</f>
        <v>0.40391535115628163</v>
      </c>
      <c r="N38" s="124">
        <f>Outputs!N25/$O$16-1</f>
        <v>0.40391535115628163</v>
      </c>
      <c r="O38" s="124">
        <f>Outputs!O25/$O$16-1</f>
        <v>0.40391535115628163</v>
      </c>
      <c r="P38" s="125">
        <f>Outputs!P25/$O$16-1</f>
        <v>0.40391535115628163</v>
      </c>
    </row>
    <row r="39" ht="15" customHeight="1" outlineLevel="1">
      <c r="B39" s="118"/>
      <c r="C39" s="85">
        <f t="shared" si="15"/>
        <v>0.095866057127655321</v>
      </c>
      <c r="D39" s="99">
        <f>Outputs!D26-$O$14</f>
        <v>107071.00817128498</v>
      </c>
      <c r="E39" s="100">
        <f>Outputs!E26-$O$14</f>
        <v>107071.00817128498</v>
      </c>
      <c r="F39" s="105">
        <f>Outputs!F26-$O$14</f>
        <v>107071.00817128498</v>
      </c>
      <c r="G39" s="100">
        <f>Outputs!G26-$O$14</f>
        <v>107071.00817128498</v>
      </c>
      <c r="H39" s="101">
        <f>Outputs!H26-$O$14</f>
        <v>107071.00817128498</v>
      </c>
      <c r="I39" s="4"/>
      <c r="J39" s="118"/>
      <c r="K39" s="85">
        <f t="shared" si="3"/>
        <v>0.095866057127655321</v>
      </c>
      <c r="L39" s="123">
        <f>Outputs!L26/$O$16-1</f>
        <v>0.40391535115628163</v>
      </c>
      <c r="M39" s="124">
        <f>Outputs!M26/$O$16-1</f>
        <v>0.40391535115628163</v>
      </c>
      <c r="N39" s="126">
        <f>Outputs!N26/$O$16-1</f>
        <v>0.40391535115628163</v>
      </c>
      <c r="O39" s="124">
        <f>Outputs!O26/$O$16-1</f>
        <v>0.40391535115628163</v>
      </c>
      <c r="P39" s="125">
        <f>Outputs!P26/$O$16-1</f>
        <v>0.40391535115628163</v>
      </c>
      <c r="S39" s="25" t="s">
        <v>6</v>
      </c>
      <c r="T39" s="26" t="s">
        <v>7</v>
      </c>
      <c r="U39" s="27" t="s">
        <v>8</v>
      </c>
      <c r="W39" s="25" t="s">
        <v>6</v>
      </c>
      <c r="X39" s="26" t="s">
        <v>7</v>
      </c>
      <c r="Y39" s="27" t="s">
        <v>8</v>
      </c>
    </row>
    <row r="40" ht="15" customHeight="1" outlineLevel="1">
      <c r="B40" s="118"/>
      <c r="C40" s="85">
        <f t="shared" si="15"/>
        <v>0.10586605712765532</v>
      </c>
      <c r="D40" s="99">
        <f>Outputs!D27-$O$14</f>
        <v>107071.00817128498</v>
      </c>
      <c r="E40" s="100">
        <f>Outputs!E27-$O$14</f>
        <v>107071.00817128498</v>
      </c>
      <c r="F40" s="100">
        <f>Outputs!F27-$O$14</f>
        <v>107071.00817128498</v>
      </c>
      <c r="G40" s="100">
        <f>Outputs!G27-$O$14</f>
        <v>107071.00817128498</v>
      </c>
      <c r="H40" s="101">
        <f>Outputs!H27-$O$14</f>
        <v>107071.00817128498</v>
      </c>
      <c r="I40" s="4"/>
      <c r="J40" s="118"/>
      <c r="K40" s="85">
        <f t="shared" si="3"/>
        <v>0.10586605712765532</v>
      </c>
      <c r="L40" s="123">
        <f>Outputs!L27/$O$16-1</f>
        <v>0.40391535115628163</v>
      </c>
      <c r="M40" s="124">
        <f>Outputs!M27/$O$16-1</f>
        <v>0.40391535115628163</v>
      </c>
      <c r="N40" s="124">
        <f>Outputs!N27/$O$16-1</f>
        <v>0.40391535115628163</v>
      </c>
      <c r="O40" s="124">
        <f>Outputs!O27/$O$16-1</f>
        <v>0.40391535115628163</v>
      </c>
      <c r="P40" s="125">
        <f>Outputs!P27/$O$16-1</f>
        <v>0.40391535115628163</v>
      </c>
      <c r="S40" s="31">
        <f>SUM(Outputs!D37:H41)</f>
        <v>2676775.2042821255</v>
      </c>
      <c r="T40" s="32">
        <f>SUM(D37:H41)</f>
        <v>2676775.2042821255</v>
      </c>
      <c r="U40" s="33">
        <f>IF(S40=0,0,IF(S40=T40,1,0))</f>
        <v>1</v>
      </c>
      <c r="W40" s="122">
        <f>SUM(Outputs!L37:P41)</f>
        <v>10.097883778907041</v>
      </c>
      <c r="X40" s="122">
        <f>SUM(L37:P41)</f>
        <v>10.097883778907041</v>
      </c>
      <c r="Y40" s="33">
        <f>IF(W40=0,0,IF(W40=X40,1,0))</f>
        <v>1</v>
      </c>
    </row>
    <row r="41" ht="15" customHeight="1" outlineLevel="1">
      <c r="B41" s="118"/>
      <c r="C41" s="85">
        <f t="shared" si="15"/>
        <v>0.11586605712765531</v>
      </c>
      <c r="D41" s="107">
        <f>Outputs!D28-$O$14</f>
        <v>107071.00817128498</v>
      </c>
      <c r="E41" s="108">
        <f>Outputs!E28-$O$14</f>
        <v>107071.00817128498</v>
      </c>
      <c r="F41" s="108">
        <f>Outputs!F28-$O$14</f>
        <v>107071.00817128498</v>
      </c>
      <c r="G41" s="108">
        <f>Outputs!G28-$O$14</f>
        <v>107071.00817128498</v>
      </c>
      <c r="H41" s="109">
        <f>Outputs!H28-$O$14</f>
        <v>107071.00817128498</v>
      </c>
      <c r="I41" s="4"/>
      <c r="J41" s="118"/>
      <c r="K41" s="85">
        <f t="shared" si="3"/>
        <v>0.11586605712765531</v>
      </c>
      <c r="L41" s="127">
        <f>Outputs!L28/$O$16-1</f>
        <v>0.40391535115628163</v>
      </c>
      <c r="M41" s="128">
        <f>Outputs!M28/$O$16-1</f>
        <v>0.40391535115628163</v>
      </c>
      <c r="N41" s="128">
        <f>Outputs!N28/$O$16-1</f>
        <v>0.40391535115628163</v>
      </c>
      <c r="O41" s="128">
        <f>Outputs!O28/$O$16-1</f>
        <v>0.40391535115628163</v>
      </c>
      <c r="P41" s="129">
        <f>Outputs!P28/$O$16-1</f>
        <v>0.40391535115628163</v>
      </c>
    </row>
    <row r="42" ht="15" customHeight="1" outlineLevel="1">
      <c r="B42" s="118"/>
      <c r="C42" s="85"/>
      <c r="D42" s="130"/>
      <c r="E42" s="130"/>
      <c r="F42" s="130"/>
      <c r="G42" s="130"/>
      <c r="H42" s="130"/>
      <c r="I42" s="4"/>
      <c r="J42" s="118"/>
      <c r="K42" s="85"/>
      <c r="L42" s="131"/>
      <c r="M42" s="131"/>
      <c r="N42" s="131"/>
      <c r="O42" s="131"/>
      <c r="P42" s="131"/>
    </row>
    <row r="43" ht="15" customHeight="1" outlineLevel="1">
      <c r="B43" s="118"/>
      <c r="C43" s="85"/>
      <c r="D43" s="130"/>
      <c r="E43" s="130"/>
      <c r="F43" s="130"/>
      <c r="G43" s="130"/>
      <c r="H43" s="130"/>
      <c r="I43" s="4"/>
      <c r="J43" s="118"/>
      <c r="K43" s="85"/>
      <c r="L43" s="131"/>
      <c r="M43" s="131"/>
      <c r="N43" s="131"/>
      <c r="O43" s="131"/>
      <c r="P43" s="132" t="s">
        <v>27</v>
      </c>
      <c r="S43" s="133" t="str">
        <f ca="1">IF(SUM(U18+U21+Y11+Y18+AC18+AG18+AE30+U40+Y37+Y40)=10,"COMPLETE","")</f>
        <v/>
      </c>
    </row>
    <row r="44" ht="15" customHeight="1" outlineLevel="1"/>
    <row r="45" ht="15" customHeight="1" outlineLevel="1"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</row>
    <row r="46" ht="15" customHeight="1"/>
    <row r="47" ht="15" customHeight="1">
      <c r="A47" s="1" t="s">
        <v>0</v>
      </c>
      <c r="B47" s="6" t="s">
        <v>28</v>
      </c>
      <c r="C47" s="7"/>
      <c r="D47" s="7"/>
      <c r="E47" s="8"/>
      <c r="F47" s="8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ht="15" customHeight="1" outlineLevel="1">
      <c r="B48" s="11"/>
      <c r="C48" s="12"/>
      <c r="D48" s="12"/>
      <c r="E48" s="13"/>
      <c r="F48" s="13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ht="15" customHeight="1" outlineLevel="1">
      <c r="F49" s="14"/>
      <c r="G49" s="15"/>
      <c r="H49" s="14"/>
      <c r="I49" s="14"/>
      <c r="J49" s="16"/>
      <c r="K49" s="16"/>
      <c r="L49" s="17"/>
      <c r="M49" s="17"/>
      <c r="N49" s="17"/>
      <c r="O49" s="17"/>
    </row>
    <row r="50" ht="15" customHeight="1" outlineLevel="1">
      <c r="D50" s="17" t="s">
        <v>2</v>
      </c>
      <c r="F50" s="135"/>
      <c r="L50" s="19" t="s">
        <v>3</v>
      </c>
      <c r="M50" s="20"/>
      <c r="N50" s="20"/>
      <c r="O50" s="20"/>
    </row>
    <row r="51" ht="15" customHeight="1" outlineLevel="1"/>
    <row r="52" ht="15" customHeight="1" outlineLevel="1"/>
    <row r="53" ht="15" customHeight="1" outlineLevel="1">
      <c r="D53" s="21" t="s">
        <v>4</v>
      </c>
      <c r="E53" s="20"/>
      <c r="F53" s="20"/>
      <c r="G53" s="20"/>
      <c r="H53" s="20"/>
      <c r="L53" s="21" t="s">
        <v>5</v>
      </c>
      <c r="M53" s="20"/>
      <c r="N53" s="20"/>
      <c r="O53" s="20"/>
    </row>
    <row r="54" ht="15" customHeight="1" outlineLevel="1">
      <c r="B54" s="4"/>
      <c r="C54" s="4"/>
      <c r="D54" s="22"/>
      <c r="E54" s="22"/>
      <c r="F54" s="22"/>
      <c r="G54" s="22"/>
      <c r="H54" s="22"/>
      <c r="I54" s="14"/>
      <c r="J54" s="23"/>
      <c r="K54" s="23"/>
      <c r="L54" s="24"/>
      <c r="M54" s="24"/>
      <c r="N54" s="24"/>
      <c r="O54" s="24"/>
      <c r="P54" s="4"/>
      <c r="Q54" s="4"/>
      <c r="W54" s="25" t="s">
        <v>6</v>
      </c>
      <c r="X54" s="26" t="s">
        <v>7</v>
      </c>
      <c r="Y54" s="27" t="s">
        <v>8</v>
      </c>
    </row>
    <row r="55" ht="15" customHeight="1" outlineLevel="1">
      <c r="D55" s="4"/>
      <c r="E55" s="4"/>
      <c r="F55" s="29" t="s">
        <v>9</v>
      </c>
      <c r="G55" s="29" t="s">
        <v>10</v>
      </c>
      <c r="H55" s="29" t="s">
        <v>10</v>
      </c>
      <c r="I55" s="30"/>
      <c r="J55" s="30"/>
      <c r="K55" s="30"/>
      <c r="W55" s="31">
        <f>Outputs!F57</f>
        <v>130862.76413287796</v>
      </c>
      <c r="X55" s="32">
        <f>F57</f>
        <v>130862.76413287796</v>
      </c>
      <c r="Y55" s="33">
        <f>IF(W55=0,0,IF(W55=X55,1,0))</f>
        <v>1</v>
      </c>
    </row>
    <row r="56" ht="15" customHeight="1" outlineLevel="1">
      <c r="D56" s="4"/>
      <c r="E56" s="4"/>
      <c r="F56" s="29" t="s">
        <v>11</v>
      </c>
      <c r="G56" s="29" t="s">
        <v>11</v>
      </c>
      <c r="H56" s="29" t="s">
        <v>12</v>
      </c>
      <c r="I56" s="30"/>
      <c r="J56" s="30"/>
      <c r="K56" s="30"/>
      <c r="L56" s="17" t="s">
        <v>29</v>
      </c>
      <c r="M56" s="17"/>
      <c r="N56" s="34"/>
      <c r="O56" s="136">
        <f>'Inputs-R'!$F$108</f>
        <v>7</v>
      </c>
    </row>
    <row r="57" ht="15" customHeight="1" outlineLevel="1">
      <c r="F57" s="36">
        <f>Model!H540</f>
        <v>130862.76413287796</v>
      </c>
      <c r="G57" s="37"/>
      <c r="H57" s="37"/>
      <c r="I57" s="30"/>
      <c r="J57" s="30"/>
      <c r="K57" s="30"/>
      <c r="L57" s="17" t="s">
        <v>14</v>
      </c>
      <c r="N57" s="34"/>
      <c r="O57" s="35">
        <f>'Inputs-R'!$L$84</f>
        <v>0.095866057127655321</v>
      </c>
      <c r="P57" s="38"/>
      <c r="S57" s="25" t="s">
        <v>6</v>
      </c>
      <c r="T57" s="26" t="s">
        <v>7</v>
      </c>
      <c r="U57" s="27" t="s">
        <v>8</v>
      </c>
      <c r="W57" s="39" t="s">
        <v>6</v>
      </c>
      <c r="X57" s="40" t="s">
        <v>7</v>
      </c>
      <c r="Y57" s="41" t="s">
        <v>8</v>
      </c>
    </row>
    <row r="58" ht="15" customHeight="1" outlineLevel="1">
      <c r="B58" s="11"/>
      <c r="D58" s="66" t="str">
        <f t="shared" ref="D58:D60" si="16">D14</f>
        <v xml:space="preserve">Best Case</v>
      </c>
      <c r="E58" s="43">
        <v>1</v>
      </c>
      <c r="F58" s="44">
        <v>130862.76413287796</v>
      </c>
      <c r="G58" s="137">
        <f t="shared" ref="G58:G60" si="17">F58-$O$58</f>
        <v>112220.76413287796</v>
      </c>
      <c r="H58" s="138">
        <f t="shared" ref="H58:H60" si="18">+G58/$O$59</f>
        <v>3.2813088927742093</v>
      </c>
      <c r="I58" s="47"/>
      <c r="J58" s="48"/>
      <c r="K58" s="48"/>
      <c r="L58" s="17" t="s">
        <v>16</v>
      </c>
      <c r="N58" s="49" t="str">
        <f>N14</f>
        <v xml:space="preserve">(End of 2022)</v>
      </c>
      <c r="O58" s="50">
        <f>'Inputs-R'!$L$94</f>
        <v>18642</v>
      </c>
      <c r="P58" s="38"/>
      <c r="S58" s="31">
        <f>SUM(Outputs!E58:E60)</f>
        <v>6</v>
      </c>
      <c r="T58" s="32">
        <f>SUM(E58:E60)</f>
        <v>6</v>
      </c>
      <c r="U58" s="33">
        <f>IF(S58=0,0,IF(S58=T58,1,0))</f>
        <v>1</v>
      </c>
      <c r="W58" s="51">
        <f ca="1">IFERROR(_xlfn.FORMULATEXT(Outputs!F58),0)</f>
        <v>0</v>
      </c>
      <c r="X58" s="52">
        <f t="shared" ref="X58:X60" ca="1" si="19">IFERROR(_xlfn.FORMULATEXT(F58),0)</f>
        <v>0</v>
      </c>
      <c r="Y58" s="53">
        <f t="shared" ref="Y58:Y60" ca="1" si="20">IF(W58=0,0,IF(W58=X58,1,0))</f>
        <v>0</v>
      </c>
      <c r="AI58" s="1"/>
    </row>
    <row r="59" ht="15" customHeight="1" outlineLevel="1">
      <c r="B59" s="11"/>
      <c r="D59" s="66" t="str">
        <f t="shared" si="16"/>
        <v xml:space="preserve">Base Case</v>
      </c>
      <c r="E59" s="43">
        <v>2</v>
      </c>
      <c r="F59" s="57">
        <v>130862.76413287796</v>
      </c>
      <c r="G59" s="139">
        <f t="shared" si="17"/>
        <v>112220.76413287796</v>
      </c>
      <c r="H59" s="140">
        <f t="shared" si="18"/>
        <v>3.2813088927742093</v>
      </c>
      <c r="I59" s="47"/>
      <c r="J59" s="48"/>
      <c r="K59" s="48"/>
      <c r="L59" s="17" t="s">
        <v>18</v>
      </c>
      <c r="M59" s="17"/>
      <c r="N59" s="49" t="s">
        <v>19</v>
      </c>
      <c r="O59" s="50">
        <f>'Inputs-R'!$F$105</f>
        <v>34200</v>
      </c>
      <c r="P59" s="38"/>
      <c r="Q59" s="59"/>
      <c r="W59" s="51">
        <f ca="1">IFERROR(_xlfn.FORMULATEXT(Outputs!F59),0)</f>
        <v>0</v>
      </c>
      <c r="X59" s="52">
        <f t="shared" ca="1" si="19"/>
        <v>0</v>
      </c>
      <c r="Y59" s="53">
        <f t="shared" ca="1" si="20"/>
        <v>0</v>
      </c>
      <c r="AI59" s="1"/>
    </row>
    <row r="60" ht="15" customHeight="1" outlineLevel="1">
      <c r="B60" s="61"/>
      <c r="C60" s="4"/>
      <c r="D60" s="66" t="str">
        <f t="shared" si="16"/>
        <v xml:space="preserve">Worst Case</v>
      </c>
      <c r="E60" s="43">
        <v>3</v>
      </c>
      <c r="F60" s="62">
        <v>130862.76413287796</v>
      </c>
      <c r="G60" s="141">
        <f t="shared" si="17"/>
        <v>112220.76413287796</v>
      </c>
      <c r="H60" s="142">
        <f t="shared" si="18"/>
        <v>3.2813088927742093</v>
      </c>
      <c r="I60" s="65"/>
      <c r="J60" s="65"/>
      <c r="K60" s="4"/>
      <c r="L60" s="66" t="s">
        <v>21</v>
      </c>
      <c r="M60" s="67"/>
      <c r="N60" s="68" t="s">
        <v>22</v>
      </c>
      <c r="O60" s="69">
        <f>'Inputs-R'!$F$106</f>
        <v>2.23</v>
      </c>
      <c r="P60" s="38"/>
      <c r="Q60" s="4"/>
      <c r="W60" s="70">
        <f ca="1">IFERROR(_xlfn.FORMULATEXT(Outputs!F60),0)</f>
        <v>0</v>
      </c>
      <c r="X60" s="71">
        <f t="shared" ca="1" si="19"/>
        <v>0</v>
      </c>
      <c r="Y60" s="72">
        <f t="shared" ca="1" si="20"/>
        <v>0</v>
      </c>
      <c r="AI60" s="1"/>
    </row>
    <row r="61" ht="15" customHeight="1" outlineLevel="1">
      <c r="B61" s="73"/>
      <c r="C61" s="4"/>
      <c r="D61" s="4"/>
      <c r="I61" s="65"/>
      <c r="J61" s="65"/>
      <c r="K61" s="4"/>
      <c r="L61" s="17"/>
      <c r="O61" s="34"/>
      <c r="P61" s="74"/>
      <c r="Q61" s="59"/>
      <c r="W61" s="4"/>
      <c r="X61" s="4"/>
      <c r="Y61" s="60"/>
    </row>
    <row r="62" ht="15" customHeight="1" outlineLevel="1">
      <c r="Y62" s="75">
        <f ca="1">IF(SUM(Y58:Y60)=3,1,0)</f>
        <v>0</v>
      </c>
    </row>
    <row r="63" ht="15" customHeight="1" outlineLevel="1"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t="15" customHeight="1" outlineLevel="1">
      <c r="D64" s="76" t="s">
        <v>23</v>
      </c>
      <c r="E64" s="20"/>
      <c r="F64" s="20"/>
      <c r="G64" s="20"/>
      <c r="H64" s="20"/>
      <c r="K64" s="4"/>
      <c r="L64" s="77" t="s">
        <v>24</v>
      </c>
      <c r="M64" s="78"/>
      <c r="N64" s="78"/>
      <c r="O64" s="78"/>
      <c r="P64" s="78"/>
      <c r="Q64" s="4"/>
      <c r="S64" s="25" t="s">
        <v>6</v>
      </c>
      <c r="T64" s="26" t="s">
        <v>7</v>
      </c>
      <c r="U64" s="27" t="s">
        <v>8</v>
      </c>
    </row>
    <row r="65" ht="15" customHeight="1" outlineLevel="1">
      <c r="D65" s="24"/>
      <c r="E65" s="24"/>
      <c r="F65" s="24"/>
      <c r="G65" s="24"/>
      <c r="H65" s="24"/>
      <c r="K65" s="4"/>
      <c r="L65" s="22"/>
      <c r="M65" s="22"/>
      <c r="N65" s="22"/>
      <c r="O65" s="22"/>
      <c r="P65" s="22"/>
      <c r="Q65" s="4"/>
      <c r="S65" s="31">
        <f>Outputs!C67</f>
        <v>130862.76413287796</v>
      </c>
      <c r="T65" s="32">
        <f>C67</f>
        <v>130862.76413287796</v>
      </c>
      <c r="U65" s="33">
        <f>IF(S65=0,0,IF(S65=T65,1,0))</f>
        <v>1</v>
      </c>
    </row>
    <row r="66" ht="15" customHeight="1" outlineLevel="1">
      <c r="B66" s="79"/>
      <c r="C66" s="80"/>
      <c r="D66" s="81" t="s">
        <v>29</v>
      </c>
      <c r="E66" s="20"/>
      <c r="F66" s="20"/>
      <c r="G66" s="20"/>
      <c r="H66" s="20"/>
      <c r="I66" s="79"/>
      <c r="K66" s="82"/>
      <c r="L66" s="83" t="s">
        <v>29</v>
      </c>
      <c r="M66" s="78"/>
      <c r="N66" s="78"/>
      <c r="O66" s="78"/>
      <c r="P66" s="78"/>
      <c r="Q66" s="82"/>
    </row>
    <row r="67" ht="15" customHeight="1" outlineLevel="1">
      <c r="C67" s="84">
        <f>Model!H540</f>
        <v>130862.76413287796</v>
      </c>
      <c r="D67" s="143">
        <f>E67-0.5</f>
        <v>6</v>
      </c>
      <c r="E67" s="143">
        <f>F67-0.5</f>
        <v>6.5</v>
      </c>
      <c r="F67" s="143">
        <f>'Inputs-R'!F108</f>
        <v>7</v>
      </c>
      <c r="G67" s="143">
        <f>+F67+0.5</f>
        <v>7.5</v>
      </c>
      <c r="H67" s="143">
        <f>+G67+0.5</f>
        <v>8</v>
      </c>
      <c r="I67" s="4"/>
      <c r="K67" s="86"/>
      <c r="L67" s="143">
        <f>D67</f>
        <v>6</v>
      </c>
      <c r="M67" s="143">
        <f>E67</f>
        <v>6.5</v>
      </c>
      <c r="N67" s="143">
        <f>F67</f>
        <v>7</v>
      </c>
      <c r="O67" s="143">
        <f>G67</f>
        <v>7.5</v>
      </c>
      <c r="P67" s="143">
        <f>H67</f>
        <v>8</v>
      </c>
      <c r="Q67" s="4"/>
      <c r="S67" s="39" t="s">
        <v>6</v>
      </c>
      <c r="T67" s="40"/>
      <c r="U67" s="40"/>
      <c r="V67" s="87"/>
      <c r="W67" s="88"/>
      <c r="Y67" s="39" t="s">
        <v>7</v>
      </c>
      <c r="Z67" s="40"/>
      <c r="AA67" s="40"/>
      <c r="AB67" s="87"/>
      <c r="AC67" s="88"/>
      <c r="AE67" s="39" t="s">
        <v>8</v>
      </c>
      <c r="AF67" s="40"/>
      <c r="AG67" s="40"/>
      <c r="AH67" s="87"/>
      <c r="AI67" s="88"/>
    </row>
    <row r="68" ht="15" customHeight="1" outlineLevel="1">
      <c r="B68" s="89" t="s">
        <v>14</v>
      </c>
      <c r="C68" s="85">
        <f t="shared" ref="C68:C69" si="21">C69-0.01</f>
        <v>0.075866057127655331</v>
      </c>
      <c r="D68" s="90">
        <v>130862.76413287796</v>
      </c>
      <c r="E68" s="91">
        <v>130862.76413287796</v>
      </c>
      <c r="F68" s="91">
        <v>130862.76413287796</v>
      </c>
      <c r="G68" s="91">
        <v>130862.76413287796</v>
      </c>
      <c r="H68" s="92">
        <v>130862.76413287796</v>
      </c>
      <c r="I68" s="4"/>
      <c r="J68" s="89" t="s">
        <v>14</v>
      </c>
      <c r="K68" s="85">
        <f t="shared" si="3"/>
        <v>0.075866057127655331</v>
      </c>
      <c r="L68" s="144">
        <f t="shared" ref="L68:P72" si="22">D81/$O$59</f>
        <v>3.2813088927742093</v>
      </c>
      <c r="M68" s="145">
        <f t="shared" si="22"/>
        <v>3.2813088927742093</v>
      </c>
      <c r="N68" s="145">
        <f t="shared" si="22"/>
        <v>3.2813088927742093</v>
      </c>
      <c r="O68" s="145">
        <f t="shared" si="22"/>
        <v>3.2813088927742093</v>
      </c>
      <c r="P68" s="146">
        <f t="shared" si="22"/>
        <v>3.2813088927742093</v>
      </c>
      <c r="Q68" s="4"/>
      <c r="S68" s="51">
        <f ca="1">IFERROR(_xlfn.FORMULATEXT(Outputs!D68),0)</f>
        <v>0</v>
      </c>
      <c r="T68" s="52">
        <f ca="1">IFERROR(_xlfn.FORMULATEXT(Outputs!E68),0)</f>
        <v>0</v>
      </c>
      <c r="U68" s="52">
        <f ca="1">IFERROR(_xlfn.FORMULATEXT(Outputs!F68),0)</f>
        <v>0</v>
      </c>
      <c r="V68" s="52">
        <f ca="1">IFERROR(_xlfn.FORMULATEXT(Outputs!G68),0)</f>
        <v>0</v>
      </c>
      <c r="W68" s="96">
        <f ca="1">IFERROR(_xlfn.FORMULATEXT(Outputs!H68),0)</f>
        <v>0</v>
      </c>
      <c r="Y68" s="51">
        <f t="shared" ref="Y68:Y72" ca="1" si="23">IFERROR(_xlfn.FORMULATEXT(D68),0)</f>
        <v>0</v>
      </c>
      <c r="Z68" s="52">
        <f t="shared" ca="1" si="5"/>
        <v>0</v>
      </c>
      <c r="AA68" s="52">
        <f t="shared" ca="1" si="6"/>
        <v>0</v>
      </c>
      <c r="AB68" s="52">
        <f t="shared" ca="1" si="7"/>
        <v>0</v>
      </c>
      <c r="AC68" s="96">
        <f t="shared" ca="1" si="8"/>
        <v>0</v>
      </c>
      <c r="AE68" s="97">
        <f t="shared" ref="AE68:AE72" ca="1" si="24">IF(S68=Y68,1,0)</f>
        <v>1</v>
      </c>
      <c r="AF68" s="98">
        <f t="shared" ca="1" si="10"/>
        <v>1</v>
      </c>
      <c r="AG68" s="98">
        <f t="shared" ca="1" si="11"/>
        <v>1</v>
      </c>
      <c r="AH68" s="98">
        <f t="shared" ca="1" si="12"/>
        <v>1</v>
      </c>
      <c r="AI68" s="53">
        <f t="shared" ca="1" si="13"/>
        <v>1</v>
      </c>
    </row>
    <row r="69" ht="15" customHeight="1" outlineLevel="1">
      <c r="B69" s="89"/>
      <c r="C69" s="85">
        <f t="shared" si="21"/>
        <v>0.085866057127655326</v>
      </c>
      <c r="D69" s="99">
        <v>130862.76413287796</v>
      </c>
      <c r="E69" s="100">
        <v>130862.76413287796</v>
      </c>
      <c r="F69" s="100">
        <v>130862.76413287796</v>
      </c>
      <c r="G69" s="100">
        <v>130862.76413287796</v>
      </c>
      <c r="H69" s="101">
        <v>130862.76413287796</v>
      </c>
      <c r="I69" s="4"/>
      <c r="J69" s="89"/>
      <c r="K69" s="85">
        <f t="shared" si="3"/>
        <v>0.085866057127655326</v>
      </c>
      <c r="L69" s="147">
        <f t="shared" si="22"/>
        <v>3.2813088927742093</v>
      </c>
      <c r="M69" s="148">
        <f t="shared" si="22"/>
        <v>3.2813088927742093</v>
      </c>
      <c r="N69" s="148">
        <f t="shared" si="22"/>
        <v>3.2813088927742093</v>
      </c>
      <c r="O69" s="148">
        <f t="shared" si="22"/>
        <v>3.2813088927742093</v>
      </c>
      <c r="P69" s="149">
        <f t="shared" si="22"/>
        <v>3.2813088927742093</v>
      </c>
      <c r="Q69" s="4"/>
      <c r="S69" s="51">
        <f ca="1">IFERROR(_xlfn.FORMULATEXT(Outputs!D69),0)</f>
        <v>0</v>
      </c>
      <c r="T69" s="52">
        <f ca="1">IFERROR(_xlfn.FORMULATEXT(Outputs!E69),0)</f>
        <v>0</v>
      </c>
      <c r="U69" s="52">
        <f ca="1">IFERROR(_xlfn.FORMULATEXT(Outputs!F69),0)</f>
        <v>0</v>
      </c>
      <c r="V69" s="52">
        <f ca="1">IFERROR(_xlfn.FORMULATEXT(Outputs!G69),0)</f>
        <v>0</v>
      </c>
      <c r="W69" s="96">
        <f ca="1">IFERROR(_xlfn.FORMULATEXT(Outputs!H69),0)</f>
        <v>0</v>
      </c>
      <c r="Y69" s="51">
        <f t="shared" ca="1" si="23"/>
        <v>0</v>
      </c>
      <c r="Z69" s="52">
        <f t="shared" ca="1" si="5"/>
        <v>0</v>
      </c>
      <c r="AA69" s="52">
        <f t="shared" ca="1" si="6"/>
        <v>0</v>
      </c>
      <c r="AB69" s="52">
        <f t="shared" ca="1" si="7"/>
        <v>0</v>
      </c>
      <c r="AC69" s="96">
        <f t="shared" ca="1" si="8"/>
        <v>0</v>
      </c>
      <c r="AE69" s="97">
        <f t="shared" ca="1" si="24"/>
        <v>1</v>
      </c>
      <c r="AF69" s="98">
        <f t="shared" ca="1" si="10"/>
        <v>1</v>
      </c>
      <c r="AG69" s="98">
        <f t="shared" ca="1" si="11"/>
        <v>1</v>
      </c>
      <c r="AH69" s="98">
        <f t="shared" ca="1" si="12"/>
        <v>1</v>
      </c>
      <c r="AI69" s="53">
        <f t="shared" ca="1" si="13"/>
        <v>1</v>
      </c>
    </row>
    <row r="70" ht="15" customHeight="1" outlineLevel="1">
      <c r="B70" s="89"/>
      <c r="C70" s="85">
        <f>'Inputs-R'!$L$84</f>
        <v>0.095866057127655321</v>
      </c>
      <c r="D70" s="99">
        <v>130862.76413287796</v>
      </c>
      <c r="E70" s="100">
        <v>130862.76413287796</v>
      </c>
      <c r="F70" s="105">
        <v>130862.76413287796</v>
      </c>
      <c r="G70" s="100">
        <v>130862.76413287796</v>
      </c>
      <c r="H70" s="101">
        <v>130862.76413287796</v>
      </c>
      <c r="I70" s="4"/>
      <c r="J70" s="89"/>
      <c r="K70" s="85">
        <f t="shared" si="3"/>
        <v>0.095866057127655321</v>
      </c>
      <c r="L70" s="147">
        <f t="shared" si="22"/>
        <v>3.2813088927742093</v>
      </c>
      <c r="M70" s="148">
        <f t="shared" si="22"/>
        <v>3.2813088927742093</v>
      </c>
      <c r="N70" s="150">
        <f t="shared" si="22"/>
        <v>3.2813088927742093</v>
      </c>
      <c r="O70" s="148">
        <f t="shared" si="22"/>
        <v>3.2813088927742093</v>
      </c>
      <c r="P70" s="149">
        <f t="shared" si="22"/>
        <v>3.2813088927742093</v>
      </c>
      <c r="Q70" s="4"/>
      <c r="S70" s="51">
        <f ca="1">IFERROR(_xlfn.FORMULATEXT(Outputs!D70),0)</f>
        <v>0</v>
      </c>
      <c r="T70" s="52">
        <f ca="1">IFERROR(_xlfn.FORMULATEXT(Outputs!E70),0)</f>
        <v>0</v>
      </c>
      <c r="U70" s="52">
        <f ca="1">IFERROR(_xlfn.FORMULATEXT(Outputs!F70),0)</f>
        <v>0</v>
      </c>
      <c r="V70" s="52">
        <f ca="1">IFERROR(_xlfn.FORMULATEXT(Outputs!G70),0)</f>
        <v>0</v>
      </c>
      <c r="W70" s="96">
        <f ca="1">IFERROR(_xlfn.FORMULATEXT(Outputs!H70),0)</f>
        <v>0</v>
      </c>
      <c r="Y70" s="51">
        <f t="shared" ca="1" si="23"/>
        <v>0</v>
      </c>
      <c r="Z70" s="52">
        <f t="shared" ca="1" si="5"/>
        <v>0</v>
      </c>
      <c r="AA70" s="52">
        <f t="shared" ca="1" si="6"/>
        <v>0</v>
      </c>
      <c r="AB70" s="52">
        <f t="shared" ca="1" si="7"/>
        <v>0</v>
      </c>
      <c r="AC70" s="96">
        <f t="shared" ca="1" si="8"/>
        <v>0</v>
      </c>
      <c r="AE70" s="97">
        <f t="shared" ca="1" si="24"/>
        <v>1</v>
      </c>
      <c r="AF70" s="98">
        <f t="shared" ca="1" si="10"/>
        <v>1</v>
      </c>
      <c r="AG70" s="98">
        <f t="shared" ca="1" si="11"/>
        <v>1</v>
      </c>
      <c r="AH70" s="98">
        <f t="shared" ca="1" si="12"/>
        <v>1</v>
      </c>
      <c r="AI70" s="53">
        <f t="shared" ca="1" si="13"/>
        <v>1</v>
      </c>
    </row>
    <row r="71" ht="15" customHeight="1" outlineLevel="1">
      <c r="B71" s="89"/>
      <c r="C71" s="85">
        <f t="shared" ref="C71:C72" si="25">C70+0.01</f>
        <v>0.10586605712765532</v>
      </c>
      <c r="D71" s="99">
        <v>130862.76413287796</v>
      </c>
      <c r="E71" s="100">
        <v>130862.76413287796</v>
      </c>
      <c r="F71" s="100">
        <v>130862.76413287796</v>
      </c>
      <c r="G71" s="100">
        <v>130862.76413287796</v>
      </c>
      <c r="H71" s="101">
        <v>130862.76413287796</v>
      </c>
      <c r="I71" s="4"/>
      <c r="J71" s="89"/>
      <c r="K71" s="85">
        <f t="shared" si="3"/>
        <v>0.10586605712765532</v>
      </c>
      <c r="L71" s="147">
        <f t="shared" si="22"/>
        <v>3.2813088927742093</v>
      </c>
      <c r="M71" s="148">
        <f t="shared" si="22"/>
        <v>3.2813088927742093</v>
      </c>
      <c r="N71" s="148">
        <f t="shared" si="22"/>
        <v>3.2813088927742093</v>
      </c>
      <c r="O71" s="148">
        <f t="shared" si="22"/>
        <v>3.2813088927742093</v>
      </c>
      <c r="P71" s="149">
        <f t="shared" si="22"/>
        <v>3.2813088927742093</v>
      </c>
      <c r="Q71" s="4"/>
      <c r="S71" s="51">
        <f ca="1">IFERROR(_xlfn.FORMULATEXT(Outputs!D71),0)</f>
        <v>0</v>
      </c>
      <c r="T71" s="52">
        <f ca="1">IFERROR(_xlfn.FORMULATEXT(Outputs!E71),0)</f>
        <v>0</v>
      </c>
      <c r="U71" s="52">
        <f ca="1">IFERROR(_xlfn.FORMULATEXT(Outputs!F71),0)</f>
        <v>0</v>
      </c>
      <c r="V71" s="52">
        <f ca="1">IFERROR(_xlfn.FORMULATEXT(Outputs!G71),0)</f>
        <v>0</v>
      </c>
      <c r="W71" s="96">
        <f ca="1">IFERROR(_xlfn.FORMULATEXT(Outputs!H71),0)</f>
        <v>0</v>
      </c>
      <c r="Y71" s="51">
        <f t="shared" ca="1" si="23"/>
        <v>0</v>
      </c>
      <c r="Z71" s="52">
        <f t="shared" ca="1" si="5"/>
        <v>0</v>
      </c>
      <c r="AA71" s="52">
        <f t="shared" ca="1" si="6"/>
        <v>0</v>
      </c>
      <c r="AB71" s="52">
        <f t="shared" ca="1" si="7"/>
        <v>0</v>
      </c>
      <c r="AC71" s="96">
        <f t="shared" ca="1" si="8"/>
        <v>0</v>
      </c>
      <c r="AE71" s="97">
        <f t="shared" ca="1" si="24"/>
        <v>1</v>
      </c>
      <c r="AF71" s="98">
        <f t="shared" ca="1" si="10"/>
        <v>1</v>
      </c>
      <c r="AG71" s="98">
        <f t="shared" ca="1" si="11"/>
        <v>1</v>
      </c>
      <c r="AH71" s="98">
        <f t="shared" ca="1" si="12"/>
        <v>1</v>
      </c>
      <c r="AI71" s="53">
        <f t="shared" ca="1" si="13"/>
        <v>1</v>
      </c>
    </row>
    <row r="72" ht="15" customHeight="1" outlineLevel="1">
      <c r="B72" s="89"/>
      <c r="C72" s="85">
        <f t="shared" si="25"/>
        <v>0.11586605712765531</v>
      </c>
      <c r="D72" s="107">
        <v>130862.76413287796</v>
      </c>
      <c r="E72" s="108">
        <v>130862.76413287796</v>
      </c>
      <c r="F72" s="108">
        <v>130862.76413287796</v>
      </c>
      <c r="G72" s="108">
        <v>130862.76413287796</v>
      </c>
      <c r="H72" s="109">
        <v>130862.76413287796</v>
      </c>
      <c r="I72" s="4"/>
      <c r="J72" s="89"/>
      <c r="K72" s="85">
        <f t="shared" si="3"/>
        <v>0.11586605712765531</v>
      </c>
      <c r="L72" s="151">
        <f t="shared" si="22"/>
        <v>3.2813088927742093</v>
      </c>
      <c r="M72" s="152">
        <f t="shared" si="22"/>
        <v>3.2813088927742093</v>
      </c>
      <c r="N72" s="152">
        <f t="shared" si="22"/>
        <v>3.2813088927742093</v>
      </c>
      <c r="O72" s="152">
        <f t="shared" si="22"/>
        <v>3.2813088927742093</v>
      </c>
      <c r="P72" s="153">
        <f t="shared" si="22"/>
        <v>3.2813088927742093</v>
      </c>
      <c r="Q72" s="4"/>
      <c r="S72" s="70">
        <f ca="1">IFERROR(_xlfn.FORMULATEXT(Outputs!D72),0)</f>
        <v>0</v>
      </c>
      <c r="T72" s="71">
        <f ca="1">IFERROR(_xlfn.FORMULATEXT(Outputs!E72),0)</f>
        <v>0</v>
      </c>
      <c r="U72" s="71">
        <f ca="1">IFERROR(_xlfn.FORMULATEXT(Outputs!F72),0)</f>
        <v>0</v>
      </c>
      <c r="V72" s="71">
        <f ca="1">IFERROR(_xlfn.FORMULATEXT(Outputs!G72),0)</f>
        <v>0</v>
      </c>
      <c r="W72" s="113">
        <f ca="1">IFERROR(_xlfn.FORMULATEXT(Outputs!H72),0)</f>
        <v>0</v>
      </c>
      <c r="Y72" s="70">
        <f t="shared" ca="1" si="23"/>
        <v>0</v>
      </c>
      <c r="Z72" s="71">
        <f t="shared" ca="1" si="5"/>
        <v>0</v>
      </c>
      <c r="AA72" s="71">
        <f t="shared" ca="1" si="6"/>
        <v>0</v>
      </c>
      <c r="AB72" s="71">
        <f t="shared" ca="1" si="7"/>
        <v>0</v>
      </c>
      <c r="AC72" s="113">
        <f t="shared" ca="1" si="8"/>
        <v>0</v>
      </c>
      <c r="AE72" s="114">
        <f t="shared" ca="1" si="24"/>
        <v>1</v>
      </c>
      <c r="AF72" s="115">
        <f t="shared" ca="1" si="10"/>
        <v>1</v>
      </c>
      <c r="AG72" s="115">
        <f t="shared" ca="1" si="11"/>
        <v>1</v>
      </c>
      <c r="AH72" s="115">
        <f t="shared" ca="1" si="12"/>
        <v>1</v>
      </c>
      <c r="AI72" s="72">
        <f t="shared" ca="1" si="13"/>
        <v>1</v>
      </c>
    </row>
    <row r="73" ht="15" customHeight="1" outlineLevel="1">
      <c r="C73" s="4"/>
      <c r="D73" s="4"/>
      <c r="E73" s="4"/>
      <c r="F73" s="4"/>
      <c r="G73" s="4"/>
      <c r="H73" s="4"/>
      <c r="I73" s="4"/>
      <c r="AE73" s="60"/>
      <c r="AF73" s="60"/>
      <c r="AG73" s="60"/>
      <c r="AH73" s="60"/>
      <c r="AI73" s="60"/>
    </row>
    <row r="74" ht="15" customHeight="1" outlineLevel="1">
      <c r="C74" s="4"/>
      <c r="D74" s="4"/>
      <c r="E74" s="4"/>
      <c r="F74" s="4"/>
      <c r="G74" s="4"/>
      <c r="H74" s="4"/>
      <c r="I74" s="4"/>
      <c r="J74" s="4"/>
      <c r="K74" s="4"/>
      <c r="L74" s="77"/>
      <c r="M74" s="78"/>
      <c r="N74" s="78"/>
      <c r="O74" s="78"/>
      <c r="P74" s="78"/>
      <c r="AE74" s="75">
        <f ca="1">IF(SUM(AE68:AI72)=25,1,0)</f>
        <v>1</v>
      </c>
      <c r="AF74" s="60"/>
      <c r="AG74" s="60"/>
      <c r="AH74" s="60"/>
      <c r="AI74" s="60"/>
    </row>
    <row r="75" ht="15" customHeight="1" outlineLevel="1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t="15" customHeight="1" outlineLevel="1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t="15" customHeight="1" outlineLevel="1">
      <c r="D77" s="76" t="s">
        <v>25</v>
      </c>
      <c r="E77" s="20"/>
      <c r="F77" s="20"/>
      <c r="G77" s="20"/>
      <c r="H77" s="20"/>
      <c r="J77" s="4"/>
      <c r="K77" s="4"/>
      <c r="L77" s="77" t="s">
        <v>26</v>
      </c>
      <c r="M77" s="78"/>
      <c r="N77" s="78"/>
      <c r="O77" s="78"/>
      <c r="P77" s="78"/>
    </row>
    <row r="78" ht="15" customHeight="1" outlineLevel="1">
      <c r="D78" s="24"/>
      <c r="E78" s="24"/>
      <c r="F78" s="24"/>
      <c r="G78" s="24"/>
      <c r="H78" s="24"/>
      <c r="J78" s="4"/>
      <c r="K78" s="4"/>
      <c r="L78" s="22"/>
      <c r="M78" s="22"/>
      <c r="N78" s="22"/>
      <c r="O78" s="22"/>
      <c r="P78" s="22"/>
    </row>
    <row r="79" ht="15" customHeight="1" outlineLevel="1">
      <c r="B79" s="79"/>
      <c r="C79" s="79"/>
      <c r="D79" s="81" t="s">
        <v>29</v>
      </c>
      <c r="E79" s="20"/>
      <c r="F79" s="20"/>
      <c r="G79" s="20"/>
      <c r="H79" s="20"/>
      <c r="I79" s="79"/>
      <c r="J79" s="82"/>
      <c r="K79" s="82"/>
      <c r="L79" s="83" t="s">
        <v>29</v>
      </c>
      <c r="M79" s="78"/>
      <c r="N79" s="78"/>
      <c r="O79" s="78"/>
      <c r="P79" s="78"/>
    </row>
    <row r="80" ht="15" customHeight="1" outlineLevel="1">
      <c r="B80" s="4"/>
      <c r="C80" s="116"/>
      <c r="D80" s="143">
        <f>D67</f>
        <v>6</v>
      </c>
      <c r="E80" s="143">
        <f>E67</f>
        <v>6.5</v>
      </c>
      <c r="F80" s="143">
        <f>F67</f>
        <v>7</v>
      </c>
      <c r="G80" s="143">
        <f>G67</f>
        <v>7.5</v>
      </c>
      <c r="H80" s="143">
        <f>H67</f>
        <v>8</v>
      </c>
      <c r="J80" s="4"/>
      <c r="K80" s="116"/>
      <c r="L80" s="143">
        <f>D80</f>
        <v>6</v>
      </c>
      <c r="M80" s="143">
        <f>E80</f>
        <v>6.5</v>
      </c>
      <c r="N80" s="143">
        <f>F80</f>
        <v>7</v>
      </c>
      <c r="O80" s="143">
        <f>G80</f>
        <v>7.5</v>
      </c>
      <c r="P80" s="143">
        <f>H80</f>
        <v>8</v>
      </c>
    </row>
    <row r="81" ht="15" customHeight="1" outlineLevel="1">
      <c r="B81" s="118" t="s">
        <v>14</v>
      </c>
      <c r="C81" s="85">
        <f t="shared" ref="C81:C85" si="26">C68</f>
        <v>0.075866057127655331</v>
      </c>
      <c r="D81" s="154">
        <f t="shared" ref="D81:H85" si="27">D68-$O$58</f>
        <v>112220.76413287796</v>
      </c>
      <c r="E81" s="155">
        <f t="shared" si="27"/>
        <v>112220.76413287796</v>
      </c>
      <c r="F81" s="155">
        <f t="shared" si="27"/>
        <v>112220.76413287796</v>
      </c>
      <c r="G81" s="155">
        <f t="shared" si="27"/>
        <v>112220.76413287796</v>
      </c>
      <c r="H81" s="156">
        <f t="shared" si="27"/>
        <v>112220.76413287796</v>
      </c>
      <c r="J81" s="118" t="s">
        <v>14</v>
      </c>
      <c r="K81" s="85">
        <f t="shared" si="3"/>
        <v>0.075866057127655331</v>
      </c>
      <c r="L81" s="157">
        <f t="shared" ref="L81:P85" si="28">L68/$O$60-1</f>
        <v>0.4714389653696005</v>
      </c>
      <c r="M81" s="158">
        <f t="shared" si="28"/>
        <v>0.4714389653696005</v>
      </c>
      <c r="N81" s="158">
        <f t="shared" si="28"/>
        <v>0.4714389653696005</v>
      </c>
      <c r="O81" s="158">
        <f t="shared" si="28"/>
        <v>0.4714389653696005</v>
      </c>
      <c r="P81" s="159">
        <f t="shared" si="28"/>
        <v>0.4714389653696005</v>
      </c>
    </row>
    <row r="82" ht="15" customHeight="1" outlineLevel="1">
      <c r="B82" s="118"/>
      <c r="C82" s="85">
        <f t="shared" si="26"/>
        <v>0.085866057127655326</v>
      </c>
      <c r="D82" s="160">
        <f t="shared" si="27"/>
        <v>112220.76413287796</v>
      </c>
      <c r="E82" s="130">
        <f t="shared" si="27"/>
        <v>112220.76413287796</v>
      </c>
      <c r="F82" s="130">
        <f t="shared" si="27"/>
        <v>112220.76413287796</v>
      </c>
      <c r="G82" s="130">
        <f t="shared" si="27"/>
        <v>112220.76413287796</v>
      </c>
      <c r="H82" s="161">
        <f t="shared" si="27"/>
        <v>112220.76413287796</v>
      </c>
      <c r="J82" s="118"/>
      <c r="K82" s="85">
        <f t="shared" si="3"/>
        <v>0.085866057127655326</v>
      </c>
      <c r="L82" s="162">
        <f t="shared" si="28"/>
        <v>0.4714389653696005</v>
      </c>
      <c r="M82" s="131">
        <f t="shared" si="28"/>
        <v>0.4714389653696005</v>
      </c>
      <c r="N82" s="131">
        <f t="shared" si="28"/>
        <v>0.4714389653696005</v>
      </c>
      <c r="O82" s="131">
        <f t="shared" si="28"/>
        <v>0.4714389653696005</v>
      </c>
      <c r="P82" s="163">
        <f t="shared" si="28"/>
        <v>0.4714389653696005</v>
      </c>
    </row>
    <row r="83" ht="15" customHeight="1" outlineLevel="1">
      <c r="B83" s="118"/>
      <c r="C83" s="85">
        <f t="shared" si="26"/>
        <v>0.095866057127655321</v>
      </c>
      <c r="D83" s="160">
        <f t="shared" si="27"/>
        <v>112220.76413287796</v>
      </c>
      <c r="E83" s="130">
        <f t="shared" si="27"/>
        <v>112220.76413287796</v>
      </c>
      <c r="F83" s="164">
        <f t="shared" si="27"/>
        <v>112220.76413287796</v>
      </c>
      <c r="G83" s="130">
        <f t="shared" si="27"/>
        <v>112220.76413287796</v>
      </c>
      <c r="H83" s="161">
        <f t="shared" si="27"/>
        <v>112220.76413287796</v>
      </c>
      <c r="J83" s="118"/>
      <c r="K83" s="85">
        <f t="shared" si="3"/>
        <v>0.095866057127655321</v>
      </c>
      <c r="L83" s="162">
        <f t="shared" si="28"/>
        <v>0.4714389653696005</v>
      </c>
      <c r="M83" s="131">
        <f t="shared" si="28"/>
        <v>0.4714389653696005</v>
      </c>
      <c r="N83" s="165">
        <f t="shared" si="28"/>
        <v>0.4714389653696005</v>
      </c>
      <c r="O83" s="131">
        <f t="shared" si="28"/>
        <v>0.4714389653696005</v>
      </c>
      <c r="P83" s="163">
        <f t="shared" si="28"/>
        <v>0.4714389653696005</v>
      </c>
    </row>
    <row r="84" ht="15" customHeight="1" outlineLevel="1">
      <c r="B84" s="118"/>
      <c r="C84" s="85">
        <f t="shared" si="26"/>
        <v>0.10586605712765532</v>
      </c>
      <c r="D84" s="160">
        <f t="shared" si="27"/>
        <v>112220.76413287796</v>
      </c>
      <c r="E84" s="130">
        <f t="shared" si="27"/>
        <v>112220.76413287796</v>
      </c>
      <c r="F84" s="130">
        <f t="shared" si="27"/>
        <v>112220.76413287796</v>
      </c>
      <c r="G84" s="130">
        <f t="shared" si="27"/>
        <v>112220.76413287796</v>
      </c>
      <c r="H84" s="161">
        <f t="shared" si="27"/>
        <v>112220.76413287796</v>
      </c>
      <c r="J84" s="118"/>
      <c r="K84" s="85">
        <f t="shared" si="3"/>
        <v>0.10586605712765532</v>
      </c>
      <c r="L84" s="162">
        <f t="shared" si="28"/>
        <v>0.4714389653696005</v>
      </c>
      <c r="M84" s="131">
        <f t="shared" si="28"/>
        <v>0.4714389653696005</v>
      </c>
      <c r="N84" s="131">
        <f t="shared" si="28"/>
        <v>0.4714389653696005</v>
      </c>
      <c r="O84" s="131">
        <f t="shared" si="28"/>
        <v>0.4714389653696005</v>
      </c>
      <c r="P84" s="163">
        <f t="shared" si="28"/>
        <v>0.4714389653696005</v>
      </c>
    </row>
    <row r="85" ht="15" customHeight="1" outlineLevel="1">
      <c r="B85" s="118"/>
      <c r="C85" s="85">
        <f t="shared" si="26"/>
        <v>0.11586605712765531</v>
      </c>
      <c r="D85" s="166">
        <f t="shared" si="27"/>
        <v>112220.76413287796</v>
      </c>
      <c r="E85" s="167">
        <f t="shared" si="27"/>
        <v>112220.76413287796</v>
      </c>
      <c r="F85" s="167">
        <f t="shared" si="27"/>
        <v>112220.76413287796</v>
      </c>
      <c r="G85" s="167">
        <f t="shared" si="27"/>
        <v>112220.76413287796</v>
      </c>
      <c r="H85" s="168">
        <f t="shared" si="27"/>
        <v>112220.76413287796</v>
      </c>
      <c r="J85" s="118"/>
      <c r="K85" s="85">
        <f t="shared" si="3"/>
        <v>0.11586605712765531</v>
      </c>
      <c r="L85" s="169">
        <f t="shared" si="28"/>
        <v>0.4714389653696005</v>
      </c>
      <c r="M85" s="170">
        <f t="shared" si="28"/>
        <v>0.4714389653696005</v>
      </c>
      <c r="N85" s="170">
        <f t="shared" si="28"/>
        <v>0.4714389653696005</v>
      </c>
      <c r="O85" s="170">
        <f t="shared" si="28"/>
        <v>0.4714389653696005</v>
      </c>
      <c r="P85" s="171">
        <f t="shared" si="28"/>
        <v>0.4714389653696005</v>
      </c>
    </row>
    <row r="86" ht="15" customHeight="1" outlineLevel="1">
      <c r="B86" s="118"/>
      <c r="C86" s="85"/>
      <c r="D86" s="130"/>
      <c r="E86" s="130"/>
      <c r="F86" s="130"/>
      <c r="G86" s="130"/>
      <c r="H86" s="130"/>
      <c r="I86" s="4"/>
      <c r="J86" s="118"/>
      <c r="K86" s="85"/>
      <c r="L86" s="131"/>
      <c r="M86" s="131"/>
      <c r="N86" s="131"/>
      <c r="O86" s="131"/>
      <c r="P86" s="131"/>
    </row>
    <row r="87" ht="15" customHeight="1" outlineLevel="1">
      <c r="B87" s="118"/>
      <c r="C87" s="85"/>
      <c r="D87" s="130"/>
      <c r="E87" s="130"/>
      <c r="F87" s="130"/>
      <c r="G87" s="130"/>
      <c r="H87" s="130"/>
      <c r="I87" s="4"/>
      <c r="J87" s="118"/>
      <c r="K87" s="85"/>
      <c r="L87" s="131"/>
      <c r="M87" s="131"/>
      <c r="N87" s="131"/>
      <c r="O87" s="131"/>
      <c r="P87" s="132" t="s">
        <v>27</v>
      </c>
      <c r="S87" s="133" t="str">
        <f ca="1">IF(SUM(U58+Y55+Y62+U65+AE74)=5,"COMPLETE","")</f>
        <v/>
      </c>
    </row>
    <row r="88" ht="15" customHeight="1" outlineLevel="1">
      <c r="B88" s="4"/>
      <c r="C88" s="4"/>
      <c r="D88" s="35"/>
      <c r="E88" s="35"/>
      <c r="F88" s="35"/>
      <c r="G88" s="35"/>
      <c r="H88" s="35"/>
    </row>
    <row r="89" ht="15" customHeight="1" outlineLevel="1"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 t="s">
        <v>0</v>
      </c>
    </row>
  </sheetData>
  <mergeCells count="8">
    <mergeCell ref="B81:B85"/>
    <mergeCell ref="J81:J85"/>
    <mergeCell ref="B24:B28"/>
    <mergeCell ref="J24:J28"/>
    <mergeCell ref="B37:B41"/>
    <mergeCell ref="J37:J41"/>
    <mergeCell ref="B68:B72"/>
    <mergeCell ref="J68:J72"/>
  </mergeCells>
  <printOptions headings="0" gridLines="0" horizontalCentered="1"/>
  <pageMargins left="0.11811023622047245" right="0.11811023622047245" top="0.11811023622047245" bottom="0.11811023622047245" header="0.11811023622047245" footer="0.11811023622047245"/>
  <pageSetup paperSize="9" scale="88" fitToWidth="1" fitToHeight="1" pageOrder="downThenOver" orientation="landscape" usePrinterDefaults="1" blackAndWhite="0" draft="0" cellComments="none" useFirstPageNumber="0" errors="displayed" horizontalDpi="600" verticalDpi="600" copies="1"/>
  <headerFooter>
    <oddFooter>&amp;L&amp;"Open Sans,Bold"&amp;10&amp;K002060DCF Valuation Modeling&amp;C&amp;"Open Sans,Bold"&amp;10&amp;K002060Page &amp;P of &amp;N&amp;R&amp;G</oddFooter>
  </headerFooter>
  <rowBreaks count="1" manualBreakCount="1">
    <brk id="46" man="1" max="17" min="1"/>
  </rowBreaks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0" fitToPage="0"/>
  </sheetPr>
  <sheetViews>
    <sheetView showFormulas="1" showGridLines="0" topLeftCell="A102" zoomScale="70" workbookViewId="0">
      <selection activeCell="B1" activeCellId="0" sqref="B1"/>
    </sheetView>
  </sheetViews>
  <sheetFormatPr defaultColWidth="9.140625" defaultRowHeight="15" customHeight="1" outlineLevelRow="1"/>
  <cols>
    <col min="1" max="1" style="1" width="9.140625"/>
    <col customWidth="1" min="2" max="2" style="1" width="12.85546875"/>
    <col customWidth="1" min="3" max="5" style="1" width="11.85546875"/>
    <col bestFit="1" customWidth="1" min="6" max="6" style="1" width="12.28515625"/>
    <col customWidth="1" min="7" max="12" style="1" width="11.85546875"/>
    <col customWidth="1" min="13" max="13" style="1" width="1.7109375"/>
    <col min="14" max="16384" style="1" width="9.140625"/>
  </cols>
  <sheetData>
    <row r="1" ht="22.5">
      <c r="A1" s="4"/>
      <c r="B1" s="2"/>
      <c r="C1" s="2"/>
      <c r="D1" s="2"/>
      <c r="E1" s="2"/>
      <c r="F1" s="2"/>
      <c r="G1" s="3"/>
      <c r="H1" s="3"/>
      <c r="I1" s="2"/>
      <c r="J1" s="2"/>
      <c r="K1" s="2"/>
      <c r="L1" s="2"/>
      <c r="M1" s="4"/>
    </row>
    <row r="2" ht="15" customHeight="1">
      <c r="A2" s="172"/>
      <c r="B2" s="172"/>
      <c r="C2" s="173"/>
      <c r="D2" s="173"/>
      <c r="E2" s="173"/>
      <c r="F2" s="173"/>
      <c r="G2" s="174"/>
      <c r="H2" s="175"/>
      <c r="I2" s="175"/>
      <c r="J2" s="175"/>
      <c r="K2" s="175"/>
      <c r="L2" s="175"/>
      <c r="M2" s="172"/>
    </row>
    <row r="3" ht="15" customHeight="1">
      <c r="A3" s="172" t="s">
        <v>0</v>
      </c>
      <c r="B3" s="6" t="s">
        <v>30</v>
      </c>
      <c r="C3" s="7"/>
      <c r="D3" s="7"/>
      <c r="E3" s="7"/>
      <c r="F3" s="8"/>
      <c r="G3" s="9"/>
      <c r="H3" s="9"/>
      <c r="I3" s="9"/>
      <c r="J3" s="9"/>
      <c r="K3" s="9"/>
      <c r="L3" s="9"/>
      <c r="M3" s="10"/>
    </row>
    <row r="4" ht="15" customHeight="1" outlineLevel="1">
      <c r="A4" s="172"/>
      <c r="B4" s="176"/>
      <c r="C4" s="12"/>
      <c r="D4" s="13"/>
      <c r="E4" s="13"/>
      <c r="F4" s="10"/>
      <c r="G4" s="10"/>
      <c r="H4" s="10"/>
      <c r="I4" s="10"/>
      <c r="J4" s="10"/>
      <c r="K4" s="10"/>
      <c r="L4" s="10"/>
      <c r="M4" s="10"/>
    </row>
    <row r="5" ht="15" customHeight="1" outlineLevel="1">
      <c r="A5" s="172"/>
      <c r="B5" s="11" t="s">
        <v>3</v>
      </c>
      <c r="C5" s="12"/>
      <c r="D5" s="14"/>
      <c r="E5" s="14"/>
      <c r="F5" s="15"/>
      <c r="G5" s="177">
        <f>$F$105</f>
        <v>2023</v>
      </c>
      <c r="H5" s="177">
        <f>G5+1</f>
        <v>2024</v>
      </c>
      <c r="I5" s="177">
        <f>H5+1</f>
        <v>2025</v>
      </c>
      <c r="J5" s="177">
        <f>I5+1</f>
        <v>2026</v>
      </c>
      <c r="K5" s="177">
        <f>J5+1</f>
        <v>2027</v>
      </c>
      <c r="L5" s="177" t="s">
        <v>31</v>
      </c>
    </row>
    <row r="6" s="54" customFormat="1" ht="15" customHeight="1" outlineLevel="1">
      <c r="B6" s="61"/>
      <c r="D6" s="17"/>
      <c r="E6" s="17"/>
      <c r="F6" s="17"/>
      <c r="G6" s="17"/>
      <c r="H6" s="17"/>
      <c r="I6" s="178"/>
      <c r="J6" s="179"/>
    </row>
    <row r="7" s="54" customFormat="1" ht="15" customHeight="1" outlineLevel="1">
      <c r="B7" s="180" t="s">
        <v>32</v>
      </c>
      <c r="D7" s="43">
        <f>Outputs!F6</f>
        <v>2</v>
      </c>
      <c r="E7" s="17"/>
      <c r="F7" s="17"/>
      <c r="G7" s="17"/>
      <c r="H7" s="17"/>
      <c r="I7" s="178"/>
      <c r="J7" s="179"/>
    </row>
    <row r="8" s="54" customFormat="1" ht="15" customHeight="1" outlineLevel="1">
      <c r="C8" s="17"/>
      <c r="D8" s="17"/>
      <c r="E8" s="17"/>
      <c r="F8" s="17"/>
      <c r="G8" s="17"/>
      <c r="H8" s="178"/>
      <c r="I8" s="179"/>
    </row>
    <row r="9" s="54" customFormat="1" ht="15" customHeight="1" outlineLevel="1">
      <c r="C9" s="17"/>
      <c r="D9" s="17"/>
      <c r="E9" s="17"/>
      <c r="F9" s="17"/>
      <c r="G9" s="17"/>
      <c r="H9" s="178"/>
      <c r="I9" s="179"/>
    </row>
    <row r="10" s="54" customFormat="1" ht="15" customHeight="1" outlineLevel="1">
      <c r="B10" s="180" t="s">
        <v>33</v>
      </c>
      <c r="D10" s="66"/>
      <c r="E10" s="66"/>
      <c r="F10" s="17"/>
      <c r="G10" s="181">
        <f>CHOOSE($D$7,G12,G13,G14)</f>
        <v>0.029999999999999999</v>
      </c>
      <c r="H10" s="182">
        <f t="shared" ref="H10:L10" si="29">CHOOSE($D$7,H12,H13,H14)</f>
        <v>0.02</v>
      </c>
      <c r="I10" s="182">
        <f t="shared" si="29"/>
        <v>0.02</v>
      </c>
      <c r="J10" s="182">
        <f t="shared" si="29"/>
        <v>0.014999999999999999</v>
      </c>
      <c r="K10" s="182">
        <f t="shared" si="29"/>
        <v>0.014999999999999999</v>
      </c>
      <c r="L10" s="183">
        <f t="shared" si="29"/>
        <v>0.01</v>
      </c>
    </row>
    <row r="11" s="54" customFormat="1" ht="15" customHeight="1" outlineLevel="1">
      <c r="C11" s="17"/>
      <c r="D11" s="17"/>
      <c r="E11" s="17"/>
      <c r="F11" s="17"/>
      <c r="G11" s="184"/>
      <c r="H11" s="185"/>
      <c r="I11" s="186"/>
      <c r="J11" s="187"/>
      <c r="K11" s="187"/>
      <c r="L11" s="187"/>
    </row>
    <row r="12" s="54" customFormat="1" ht="15" customHeight="1" outlineLevel="1">
      <c r="B12" s="188" t="str">
        <f>Outputs!D14</f>
        <v xml:space="preserve">Best Case</v>
      </c>
      <c r="C12" s="66"/>
      <c r="D12" s="17"/>
      <c r="E12" s="17"/>
      <c r="F12" s="17"/>
      <c r="G12" s="189">
        <v>0.040000000000000001</v>
      </c>
      <c r="H12" s="190">
        <v>0.029999999999999999</v>
      </c>
      <c r="I12" s="190">
        <v>0.025000000000000001</v>
      </c>
      <c r="J12" s="190">
        <v>0.02</v>
      </c>
      <c r="K12" s="190">
        <v>0.02</v>
      </c>
      <c r="L12" s="191">
        <v>0.014999999999999999</v>
      </c>
    </row>
    <row r="13" s="54" customFormat="1" ht="15" customHeight="1" outlineLevel="1">
      <c r="B13" s="188" t="str">
        <f>Outputs!D15</f>
        <v xml:space="preserve">Base Case</v>
      </c>
      <c r="C13" s="17"/>
      <c r="D13" s="17"/>
      <c r="E13" s="17"/>
      <c r="F13" s="17"/>
      <c r="G13" s="192">
        <v>0.029999999999999999</v>
      </c>
      <c r="H13" s="193">
        <v>0.02</v>
      </c>
      <c r="I13" s="193">
        <v>0.02</v>
      </c>
      <c r="J13" s="193">
        <v>0.014999999999999999</v>
      </c>
      <c r="K13" s="193">
        <v>0.014999999999999999</v>
      </c>
      <c r="L13" s="194">
        <v>0.01</v>
      </c>
    </row>
    <row r="14" s="54" customFormat="1" ht="15" customHeight="1" outlineLevel="1">
      <c r="B14" s="188" t="str">
        <f>Outputs!D16</f>
        <v xml:space="preserve">Worst Case</v>
      </c>
      <c r="C14" s="17"/>
      <c r="D14" s="17"/>
      <c r="E14" s="17"/>
      <c r="F14" s="17"/>
      <c r="G14" s="195">
        <v>0.01</v>
      </c>
      <c r="H14" s="196">
        <v>0.01</v>
      </c>
      <c r="I14" s="196">
        <v>0.0050000000000000001</v>
      </c>
      <c r="J14" s="196">
        <v>0.0050000000000000001</v>
      </c>
      <c r="K14" s="196">
        <v>0.0050000000000000001</v>
      </c>
      <c r="L14" s="197">
        <v>0.0050000000000000001</v>
      </c>
    </row>
    <row r="15" s="54" customFormat="1" ht="15" customHeight="1" outlineLevel="1">
      <c r="B15" s="61"/>
      <c r="C15" s="198"/>
      <c r="D15" s="198"/>
      <c r="E15" s="198"/>
      <c r="F15" s="198"/>
      <c r="G15" s="184"/>
      <c r="H15" s="199"/>
      <c r="I15" s="186"/>
      <c r="J15" s="187"/>
      <c r="K15" s="187"/>
      <c r="L15" s="187"/>
    </row>
    <row r="16" s="54" customFormat="1" ht="15" customHeight="1" outlineLevel="1">
      <c r="B16" s="61"/>
      <c r="C16" s="198"/>
      <c r="D16" s="198"/>
      <c r="E16" s="198"/>
      <c r="F16" s="198"/>
      <c r="G16" s="184"/>
      <c r="H16" s="199"/>
      <c r="I16" s="186"/>
      <c r="J16" s="187"/>
      <c r="K16" s="187"/>
      <c r="L16" s="187"/>
    </row>
    <row r="17" s="54" customFormat="1" ht="15" customHeight="1" outlineLevel="1">
      <c r="B17" s="180" t="s">
        <v>34</v>
      </c>
      <c r="C17" s="198"/>
      <c r="D17" s="198"/>
      <c r="E17" s="198"/>
      <c r="F17" s="198"/>
      <c r="G17" s="181">
        <f t="shared" ref="G17:L24" si="30">CHOOSE($D$7,G19,G20,G21)</f>
        <v>0.035000000000000003</v>
      </c>
      <c r="H17" s="182">
        <f t="shared" si="30"/>
        <v>0.029999999999999999</v>
      </c>
      <c r="I17" s="182">
        <f t="shared" si="30"/>
        <v>0.029999999999999999</v>
      </c>
      <c r="J17" s="182">
        <f t="shared" si="30"/>
        <v>0.025000000000000001</v>
      </c>
      <c r="K17" s="182">
        <f t="shared" si="30"/>
        <v>0.025000000000000001</v>
      </c>
      <c r="L17" s="183">
        <f t="shared" si="30"/>
        <v>0.014999999999999999</v>
      </c>
    </row>
    <row r="18" s="54" customFormat="1" ht="15" customHeight="1" outlineLevel="1">
      <c r="B18" s="61"/>
      <c r="C18" s="198"/>
      <c r="D18" s="198"/>
      <c r="E18" s="198"/>
      <c r="F18" s="198"/>
      <c r="G18" s="200"/>
      <c r="H18" s="201"/>
      <c r="I18" s="202"/>
      <c r="J18" s="203"/>
      <c r="K18" s="203"/>
      <c r="L18" s="203"/>
    </row>
    <row r="19" s="54" customFormat="1" ht="15" customHeight="1" outlineLevel="1">
      <c r="B19" s="188" t="str">
        <f>$B$12</f>
        <v xml:space="preserve">Best Case</v>
      </c>
      <c r="C19" s="17"/>
      <c r="D19" s="17"/>
      <c r="E19" s="17"/>
      <c r="F19" s="17"/>
      <c r="G19" s="189">
        <v>0.035000000000000003</v>
      </c>
      <c r="H19" s="190">
        <v>0.02</v>
      </c>
      <c r="I19" s="190">
        <v>0.02</v>
      </c>
      <c r="J19" s="190">
        <v>0.02</v>
      </c>
      <c r="K19" s="190">
        <v>0.014999999999999999</v>
      </c>
      <c r="L19" s="191">
        <v>0.0080000000000000002</v>
      </c>
    </row>
    <row r="20" s="54" customFormat="1" ht="15" customHeight="1" outlineLevel="1">
      <c r="B20" s="188" t="str">
        <f>$B$13</f>
        <v xml:space="preserve">Base Case</v>
      </c>
      <c r="C20" s="17"/>
      <c r="D20" s="17"/>
      <c r="E20" s="17"/>
      <c r="F20" s="17"/>
      <c r="G20" s="192">
        <v>0.035000000000000003</v>
      </c>
      <c r="H20" s="193">
        <v>0.029999999999999999</v>
      </c>
      <c r="I20" s="193">
        <v>0.029999999999999999</v>
      </c>
      <c r="J20" s="193">
        <v>0.025000000000000001</v>
      </c>
      <c r="K20" s="193">
        <v>0.025000000000000001</v>
      </c>
      <c r="L20" s="194">
        <v>0.014999999999999999</v>
      </c>
    </row>
    <row r="21" s="54" customFormat="1" ht="15" customHeight="1" outlineLevel="1">
      <c r="B21" s="188" t="str">
        <f>$B$14</f>
        <v xml:space="preserve">Worst Case</v>
      </c>
      <c r="C21" s="17"/>
      <c r="D21" s="17"/>
      <c r="E21" s="17"/>
      <c r="F21" s="17"/>
      <c r="G21" s="195">
        <v>0.050000000000000003</v>
      </c>
      <c r="H21" s="196">
        <v>0.040000000000000001</v>
      </c>
      <c r="I21" s="196">
        <v>0.040000000000000001</v>
      </c>
      <c r="J21" s="196">
        <v>0.035000000000000003</v>
      </c>
      <c r="K21" s="196">
        <v>0.029999999999999999</v>
      </c>
      <c r="L21" s="197">
        <v>0.029999999999999999</v>
      </c>
    </row>
    <row r="22" s="54" customFormat="1" ht="15" customHeight="1" outlineLevel="1"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</row>
    <row r="23" s="54" customFormat="1" ht="15" customHeight="1" outlineLevel="1">
      <c r="C23" s="198"/>
      <c r="D23" s="198"/>
      <c r="E23" s="198"/>
      <c r="F23" s="198"/>
      <c r="G23" s="204"/>
      <c r="H23" s="204"/>
      <c r="I23" s="204"/>
      <c r="J23" s="204"/>
      <c r="K23" s="204"/>
      <c r="L23" s="204"/>
    </row>
    <row r="24" s="54" customFormat="1" ht="15" customHeight="1" outlineLevel="1">
      <c r="B24" s="180" t="s">
        <v>35</v>
      </c>
      <c r="C24" s="198"/>
      <c r="D24" s="198"/>
      <c r="E24" s="198"/>
      <c r="F24" s="198"/>
      <c r="G24" s="205">
        <f t="shared" si="30"/>
        <v>10000</v>
      </c>
      <c r="H24" s="206">
        <f t="shared" si="30"/>
        <v>8000</v>
      </c>
      <c r="I24" s="206">
        <f t="shared" si="30"/>
        <v>9000</v>
      </c>
      <c r="J24" s="206">
        <f t="shared" si="30"/>
        <v>5000</v>
      </c>
      <c r="K24" s="206">
        <f t="shared" si="30"/>
        <v>5000</v>
      </c>
      <c r="L24" s="207">
        <f t="shared" si="30"/>
        <v>6000</v>
      </c>
    </row>
    <row r="25" s="54" customFormat="1" ht="15" customHeight="1" outlineLevel="1">
      <c r="B25" s="61"/>
      <c r="C25" s="198"/>
      <c r="D25" s="198"/>
      <c r="E25" s="198"/>
      <c r="F25" s="198"/>
      <c r="G25" s="208"/>
      <c r="H25" s="209"/>
      <c r="I25" s="210"/>
      <c r="J25" s="211"/>
      <c r="K25" s="211"/>
      <c r="L25" s="211"/>
    </row>
    <row r="26" s="54" customFormat="1" ht="15" customHeight="1" outlineLevel="1">
      <c r="B26" s="188" t="str">
        <f>$B$12</f>
        <v xml:space="preserve">Best Case</v>
      </c>
      <c r="C26" s="17"/>
      <c r="D26" s="17"/>
      <c r="E26" s="17"/>
      <c r="F26" s="17"/>
      <c r="G26" s="212">
        <v>4000</v>
      </c>
      <c r="H26" s="213">
        <v>4300</v>
      </c>
      <c r="I26" s="213">
        <v>4400</v>
      </c>
      <c r="J26" s="213">
        <v>4600</v>
      </c>
      <c r="K26" s="213">
        <v>4800</v>
      </c>
      <c r="L26" s="214">
        <v>4900</v>
      </c>
    </row>
    <row r="27" s="54" customFormat="1" ht="15" customHeight="1" outlineLevel="1">
      <c r="B27" s="188" t="str">
        <f>$B$13</f>
        <v xml:space="preserve">Base Case</v>
      </c>
      <c r="C27" s="17"/>
      <c r="D27" s="17"/>
      <c r="E27" s="17"/>
      <c r="F27" s="17"/>
      <c r="G27" s="215">
        <v>10000</v>
      </c>
      <c r="H27" s="216">
        <v>8000</v>
      </c>
      <c r="I27" s="216">
        <v>9000</v>
      </c>
      <c r="J27" s="216">
        <v>5000</v>
      </c>
      <c r="K27" s="216">
        <v>5000</v>
      </c>
      <c r="L27" s="217">
        <v>6000</v>
      </c>
    </row>
    <row r="28" s="54" customFormat="1" ht="15" customHeight="1" outlineLevel="1">
      <c r="B28" s="188" t="str">
        <f>$B$14</f>
        <v xml:space="preserve">Worst Case</v>
      </c>
      <c r="C28" s="17"/>
      <c r="D28" s="17"/>
      <c r="E28" s="17"/>
      <c r="F28" s="17"/>
      <c r="G28" s="218">
        <v>5000</v>
      </c>
      <c r="H28" s="219">
        <v>5200</v>
      </c>
      <c r="I28" s="219">
        <v>5400</v>
      </c>
      <c r="J28" s="219">
        <v>5500</v>
      </c>
      <c r="K28" s="219">
        <v>5600</v>
      </c>
      <c r="L28" s="220">
        <v>5800</v>
      </c>
    </row>
    <row r="29" s="54" customFormat="1" ht="15" customHeight="1" outlineLevel="1"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</row>
    <row r="30" s="54" customFormat="1" ht="15" customHeight="1" outlineLevel="1"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</row>
    <row r="31" s="54" customFormat="1" ht="15" customHeight="1" outlineLevel="1">
      <c r="B31" s="180" t="s">
        <v>36</v>
      </c>
      <c r="C31" s="198"/>
      <c r="D31" s="198"/>
      <c r="E31" s="198"/>
      <c r="F31" s="198"/>
      <c r="G31" s="221">
        <v>0.035000000000000003</v>
      </c>
      <c r="H31" s="222">
        <v>0.029999999999999999</v>
      </c>
      <c r="I31" s="222">
        <v>0.029999999999999999</v>
      </c>
      <c r="J31" s="222">
        <v>0.025000000000000001</v>
      </c>
      <c r="K31" s="222">
        <v>0.025000000000000001</v>
      </c>
      <c r="L31" s="223">
        <v>0.014999999999999999</v>
      </c>
    </row>
    <row r="32" s="54" customFormat="1" ht="15" customHeight="1" outlineLevel="1">
      <c r="B32" s="61"/>
      <c r="C32" s="198"/>
      <c r="D32" s="198"/>
      <c r="E32" s="198"/>
      <c r="F32" s="198"/>
      <c r="G32" s="224"/>
      <c r="H32" s="224"/>
      <c r="I32" s="224"/>
      <c r="J32" s="224"/>
      <c r="K32" s="224"/>
      <c r="L32" s="224"/>
    </row>
    <row r="33" s="54" customFormat="1" ht="15" customHeight="1" outlineLevel="1">
      <c r="B33" s="61"/>
      <c r="C33" s="198"/>
      <c r="D33" s="198"/>
      <c r="E33" s="198"/>
      <c r="F33" s="198"/>
      <c r="G33" s="224"/>
      <c r="H33" s="224"/>
      <c r="I33" s="224"/>
      <c r="J33" s="224"/>
      <c r="K33" s="224"/>
      <c r="L33" s="224"/>
    </row>
    <row r="34" s="54" customFormat="1" ht="15" customHeight="1" outlineLevel="1">
      <c r="B34" s="180" t="s">
        <v>37</v>
      </c>
      <c r="C34" s="204"/>
      <c r="D34" s="204"/>
      <c r="E34" s="204"/>
      <c r="F34" s="204"/>
      <c r="G34" s="204"/>
      <c r="H34" s="204"/>
      <c r="I34" s="204"/>
      <c r="J34" s="204"/>
      <c r="K34" s="204"/>
      <c r="L34" s="204"/>
    </row>
    <row r="35" s="54" customFormat="1" ht="15" customHeight="1" outlineLevel="1">
      <c r="B35" s="225" t="s">
        <v>38</v>
      </c>
      <c r="C35" s="204"/>
      <c r="D35" s="204"/>
      <c r="E35" s="226" t="s">
        <v>39</v>
      </c>
      <c r="F35" s="204"/>
      <c r="G35" s="212">
        <v>45</v>
      </c>
      <c r="H35" s="213">
        <v>45</v>
      </c>
      <c r="I35" s="213">
        <v>45</v>
      </c>
      <c r="J35" s="213">
        <v>45</v>
      </c>
      <c r="K35" s="213">
        <v>45</v>
      </c>
      <c r="L35" s="227">
        <f t="shared" ref="L35:L37" si="31">K35</f>
        <v>45</v>
      </c>
    </row>
    <row r="36" s="54" customFormat="1" ht="15" customHeight="1" outlineLevel="1">
      <c r="B36" s="225" t="s">
        <v>40</v>
      </c>
      <c r="C36" s="204"/>
      <c r="D36" s="204"/>
      <c r="E36" s="226" t="s">
        <v>39</v>
      </c>
      <c r="F36" s="204"/>
      <c r="G36" s="215">
        <v>25</v>
      </c>
      <c r="H36" s="216">
        <v>25</v>
      </c>
      <c r="I36" s="216">
        <v>25</v>
      </c>
      <c r="J36" s="216">
        <v>25</v>
      </c>
      <c r="K36" s="216">
        <v>25</v>
      </c>
      <c r="L36" s="228">
        <f t="shared" si="31"/>
        <v>25</v>
      </c>
    </row>
    <row r="37" s="54" customFormat="1" ht="15" customHeight="1" outlineLevel="1">
      <c r="B37" s="225" t="s">
        <v>41</v>
      </c>
      <c r="C37" s="204"/>
      <c r="D37" s="204"/>
      <c r="E37" s="226" t="s">
        <v>39</v>
      </c>
      <c r="F37" s="204"/>
      <c r="G37" s="218">
        <v>40</v>
      </c>
      <c r="H37" s="219">
        <v>40</v>
      </c>
      <c r="I37" s="219">
        <v>40</v>
      </c>
      <c r="J37" s="219">
        <v>40</v>
      </c>
      <c r="K37" s="219">
        <v>40</v>
      </c>
      <c r="L37" s="229">
        <f t="shared" si="31"/>
        <v>40</v>
      </c>
    </row>
    <row r="38" s="54" customFormat="1" ht="15" customHeight="1" outlineLevel="1">
      <c r="C38" s="204"/>
      <c r="D38" s="204"/>
      <c r="E38" s="204"/>
      <c r="F38" s="204"/>
      <c r="G38" s="204"/>
      <c r="H38" s="204"/>
      <c r="I38" s="204"/>
      <c r="J38" s="204"/>
      <c r="K38" s="204"/>
      <c r="L38" s="204"/>
    </row>
    <row r="39" s="54" customFormat="1" ht="15" customHeight="1" outlineLevel="1">
      <c r="C39" s="204"/>
      <c r="D39" s="204"/>
      <c r="E39" s="204"/>
      <c r="F39" s="204"/>
      <c r="G39" s="204"/>
      <c r="H39" s="204"/>
      <c r="I39" s="204"/>
      <c r="J39" s="204"/>
      <c r="K39" s="204"/>
      <c r="L39" s="204"/>
    </row>
    <row r="40" s="54" customFormat="1" ht="15" customHeight="1" outlineLevel="1">
      <c r="B40" s="180" t="s">
        <v>42</v>
      </c>
      <c r="C40" s="204"/>
      <c r="D40" s="204"/>
      <c r="E40" s="204"/>
      <c r="F40" s="204"/>
      <c r="L40" s="204"/>
    </row>
    <row r="41" s="54" customFormat="1" ht="15" customHeight="1" outlineLevel="1">
      <c r="A41" s="54" t="s">
        <v>43</v>
      </c>
      <c r="B41" s="225" t="s">
        <v>44</v>
      </c>
      <c r="C41" s="204"/>
      <c r="D41" s="204"/>
      <c r="E41" s="226" t="s">
        <v>45</v>
      </c>
      <c r="F41" s="204"/>
      <c r="G41" s="215">
        <v>-3000</v>
      </c>
      <c r="H41" s="216">
        <v>-3000</v>
      </c>
      <c r="I41" s="216">
        <v>-2000</v>
      </c>
      <c r="J41" s="216">
        <v>-3000</v>
      </c>
      <c r="K41" s="217">
        <v>-3000</v>
      </c>
      <c r="L41" s="217">
        <v>-2000</v>
      </c>
    </row>
    <row r="42" s="54" customFormat="1" ht="15" customHeight="1" outlineLevel="1">
      <c r="B42" s="225" t="s">
        <v>46</v>
      </c>
      <c r="C42" s="204"/>
      <c r="D42" s="204"/>
      <c r="E42" s="226" t="s">
        <v>45</v>
      </c>
      <c r="F42" s="204"/>
      <c r="G42" s="218">
        <v>-1000</v>
      </c>
      <c r="H42" s="219">
        <v>-1000</v>
      </c>
      <c r="I42" s="219">
        <v>-1000</v>
      </c>
      <c r="J42" s="219">
        <v>-1000</v>
      </c>
      <c r="K42" s="220">
        <v>-1000</v>
      </c>
      <c r="L42" s="220">
        <v>-1000</v>
      </c>
    </row>
    <row r="43" s="23" customFormat="1" ht="15" customHeight="1" outlineLevel="1">
      <c r="B43" s="133" t="str">
        <f>'Inputs-R'!Q39</f>
        <v/>
      </c>
      <c r="C43" s="12"/>
      <c r="D43" s="14"/>
      <c r="E43" s="14"/>
      <c r="F43" s="14"/>
      <c r="G43" s="14"/>
      <c r="H43" s="14"/>
      <c r="I43" s="16"/>
      <c r="J43" s="16"/>
      <c r="K43" s="16"/>
      <c r="L43" s="132" t="s">
        <v>47</v>
      </c>
    </row>
    <row r="44" s="54" customFormat="1" ht="15" customHeight="1" outlineLevel="1">
      <c r="B44" s="17"/>
      <c r="C44" s="17"/>
      <c r="D44" s="17"/>
      <c r="E44" s="17"/>
      <c r="F44" s="17"/>
      <c r="G44" s="17"/>
      <c r="H44" s="230"/>
      <c r="I44" s="230"/>
      <c r="J44" s="230"/>
      <c r="K44" s="230"/>
      <c r="L44" s="230"/>
      <c r="M44" s="230"/>
    </row>
    <row r="45" s="54" customFormat="1" ht="15" customHeight="1" outlineLevel="1">
      <c r="B45" s="231"/>
      <c r="C45" s="231"/>
      <c r="D45" s="231"/>
      <c r="E45" s="231"/>
      <c r="F45" s="231"/>
      <c r="G45" s="231"/>
      <c r="H45" s="232"/>
      <c r="I45" s="232"/>
      <c r="J45" s="232"/>
      <c r="K45" s="232"/>
      <c r="L45" s="232"/>
      <c r="M45" s="230"/>
    </row>
    <row r="46" s="54" customFormat="1" ht="15" customHeight="1">
      <c r="B46" s="17"/>
      <c r="C46" s="17"/>
      <c r="D46" s="17"/>
      <c r="E46" s="17"/>
      <c r="F46" s="17"/>
      <c r="G46" s="17"/>
      <c r="H46" s="230"/>
      <c r="I46" s="230"/>
      <c r="J46" s="230"/>
      <c r="K46" s="230"/>
      <c r="L46" s="230"/>
      <c r="M46" s="230"/>
    </row>
    <row r="47" ht="15" customHeight="1">
      <c r="A47" s="23" t="s">
        <v>0</v>
      </c>
      <c r="B47" s="6" t="s">
        <v>48</v>
      </c>
      <c r="C47" s="7"/>
      <c r="D47" s="7"/>
      <c r="E47" s="7"/>
      <c r="F47" s="8"/>
      <c r="G47" s="9"/>
      <c r="H47" s="9"/>
      <c r="I47" s="9"/>
      <c r="J47" s="9"/>
      <c r="K47" s="9"/>
      <c r="L47" s="9"/>
      <c r="M47" s="10"/>
    </row>
    <row r="48" ht="15" customHeight="1" outlineLevel="1">
      <c r="A48" s="23"/>
      <c r="B48" s="176"/>
      <c r="C48" s="12"/>
      <c r="D48" s="12"/>
      <c r="E48" s="12"/>
      <c r="F48" s="13"/>
      <c r="G48" s="10"/>
      <c r="H48" s="10"/>
      <c r="I48" s="10"/>
      <c r="J48" s="10"/>
      <c r="K48" s="10"/>
      <c r="L48" s="10"/>
      <c r="M48" s="10"/>
    </row>
    <row r="49" ht="15" customHeight="1" outlineLevel="1">
      <c r="A49" s="23"/>
      <c r="B49" s="11" t="s">
        <v>3</v>
      </c>
      <c r="C49" s="12"/>
      <c r="D49" s="12"/>
      <c r="E49" s="12"/>
      <c r="F49" s="14"/>
      <c r="G49" s="14"/>
      <c r="H49" s="14"/>
      <c r="I49" s="16"/>
      <c r="J49" s="16"/>
      <c r="K49" s="16"/>
      <c r="L49" s="16"/>
      <c r="M49" s="16"/>
    </row>
    <row r="50" ht="15" customHeight="1" outlineLevel="1">
      <c r="A50" s="23"/>
      <c r="C50" s="12"/>
      <c r="D50" s="12"/>
      <c r="E50" s="12"/>
      <c r="F50" s="14"/>
      <c r="G50" s="233"/>
      <c r="H50" s="233"/>
      <c r="I50" s="233"/>
      <c r="J50" s="233"/>
      <c r="K50" s="233"/>
      <c r="L50" s="233"/>
      <c r="M50" s="233"/>
    </row>
    <row r="51" ht="15" customHeight="1" outlineLevel="1">
      <c r="A51" s="23"/>
      <c r="B51" s="234"/>
      <c r="C51" s="235"/>
      <c r="D51" s="235"/>
      <c r="E51" s="235"/>
      <c r="F51" s="236"/>
      <c r="G51" s="237"/>
      <c r="H51" s="238" t="s">
        <v>49</v>
      </c>
      <c r="I51" s="238" t="s">
        <v>50</v>
      </c>
      <c r="J51" s="238" t="s">
        <v>50</v>
      </c>
      <c r="K51" s="238" t="s">
        <v>51</v>
      </c>
      <c r="L51" s="239" t="s">
        <v>52</v>
      </c>
    </row>
    <row r="52" ht="21.75" customHeight="1" outlineLevel="1">
      <c r="A52" s="23"/>
      <c r="B52" s="61" t="s">
        <v>53</v>
      </c>
      <c r="C52" s="240" t="s">
        <v>54</v>
      </c>
      <c r="D52" s="241" t="s">
        <v>55</v>
      </c>
      <c r="E52" s="61" t="s">
        <v>56</v>
      </c>
      <c r="F52" s="242" t="s">
        <v>57</v>
      </c>
      <c r="G52" s="242" t="s">
        <v>10</v>
      </c>
      <c r="H52" s="243" t="s">
        <v>58</v>
      </c>
      <c r="I52" s="244" t="s">
        <v>10</v>
      </c>
      <c r="J52" s="244" t="s">
        <v>59</v>
      </c>
      <c r="K52" s="243" t="s">
        <v>60</v>
      </c>
      <c r="L52" s="243" t="s">
        <v>61</v>
      </c>
    </row>
    <row r="53" ht="15" customHeight="1" outlineLevel="1">
      <c r="A53" s="23"/>
      <c r="B53" s="245"/>
      <c r="C53" s="245"/>
      <c r="D53" s="245"/>
      <c r="E53" s="245"/>
      <c r="F53" s="246"/>
      <c r="G53" s="246"/>
      <c r="H53" s="247"/>
    </row>
    <row r="54" ht="15" customHeight="1" outlineLevel="1">
      <c r="A54" s="23"/>
      <c r="B54" s="248" t="s">
        <v>62</v>
      </c>
      <c r="C54" s="249" t="s">
        <v>63</v>
      </c>
      <c r="D54" s="250" t="s">
        <v>64</v>
      </c>
      <c r="E54" s="251"/>
      <c r="F54" s="216">
        <v>88888</v>
      </c>
      <c r="G54" s="216">
        <v>9999999</v>
      </c>
      <c r="H54" s="252">
        <v>0.315</v>
      </c>
      <c r="I54" s="253">
        <f t="shared" ref="I54:I63" si="32">F54/G54</f>
        <v>0.0088888008888800881</v>
      </c>
      <c r="J54" s="253">
        <f t="shared" ref="J54:J63" si="33">F54/(F54+G54)</f>
        <v>0.0088104862310381706</v>
      </c>
      <c r="K54" s="254">
        <v>0.84999999999999998</v>
      </c>
      <c r="L54" s="255">
        <f t="shared" ref="L54:L63" si="34">K54/(1+(1-H54)*(I54))</f>
        <v>0.84485581772664475</v>
      </c>
    </row>
    <row r="55" ht="15" customHeight="1" outlineLevel="1">
      <c r="A55" s="23"/>
      <c r="B55" s="248" t="s">
        <v>65</v>
      </c>
      <c r="C55" s="249" t="s">
        <v>66</v>
      </c>
      <c r="D55" s="250" t="s">
        <v>67</v>
      </c>
      <c r="E55" s="251"/>
      <c r="F55" s="216">
        <v>88888</v>
      </c>
      <c r="G55" s="216">
        <v>9999999</v>
      </c>
      <c r="H55" s="252">
        <v>0.315</v>
      </c>
      <c r="I55" s="253">
        <f t="shared" si="32"/>
        <v>0.0088888008888800881</v>
      </c>
      <c r="J55" s="253">
        <f t="shared" si="33"/>
        <v>0.0088104862310381706</v>
      </c>
      <c r="K55" s="254">
        <v>0.84999999999999998</v>
      </c>
      <c r="L55" s="255">
        <f t="shared" si="34"/>
        <v>0.84485581772664475</v>
      </c>
    </row>
    <row r="56" ht="15" customHeight="1" outlineLevel="1">
      <c r="A56" s="23"/>
      <c r="B56" s="248" t="s">
        <v>68</v>
      </c>
      <c r="C56" s="249" t="s">
        <v>69</v>
      </c>
      <c r="D56" s="250" t="s">
        <v>67</v>
      </c>
      <c r="E56" s="251"/>
      <c r="F56" s="216">
        <v>88888</v>
      </c>
      <c r="G56" s="216">
        <v>9999999</v>
      </c>
      <c r="H56" s="252">
        <v>0.315</v>
      </c>
      <c r="I56" s="253">
        <f t="shared" si="32"/>
        <v>0.0088888008888800881</v>
      </c>
      <c r="J56" s="253">
        <f t="shared" si="33"/>
        <v>0.0088104862310381706</v>
      </c>
      <c r="K56" s="254">
        <v>0.84999999999999998</v>
      </c>
      <c r="L56" s="255">
        <f t="shared" si="34"/>
        <v>0.84485581772664475</v>
      </c>
    </row>
    <row r="57" ht="15" customHeight="1" outlineLevel="1">
      <c r="A57" s="23"/>
      <c r="B57" s="248" t="s">
        <v>70</v>
      </c>
      <c r="C57" s="249" t="s">
        <v>71</v>
      </c>
      <c r="D57" s="250" t="s">
        <v>67</v>
      </c>
      <c r="E57" s="251"/>
      <c r="F57" s="216">
        <v>88888</v>
      </c>
      <c r="G57" s="216">
        <v>9999999</v>
      </c>
      <c r="H57" s="252">
        <v>0.315</v>
      </c>
      <c r="I57" s="253">
        <f t="shared" si="32"/>
        <v>0.0088888008888800881</v>
      </c>
      <c r="J57" s="253">
        <f t="shared" si="33"/>
        <v>0.0088104862310381706</v>
      </c>
      <c r="K57" s="254">
        <v>0.84999999999999998</v>
      </c>
      <c r="L57" s="255">
        <f t="shared" si="34"/>
        <v>0.84485581772664475</v>
      </c>
    </row>
    <row r="58" ht="15" customHeight="1" outlineLevel="1">
      <c r="A58" s="23"/>
      <c r="B58" s="248" t="s">
        <v>72</v>
      </c>
      <c r="C58" s="249" t="s">
        <v>73</v>
      </c>
      <c r="D58" s="250" t="s">
        <v>64</v>
      </c>
      <c r="E58" s="251"/>
      <c r="F58" s="216">
        <v>88888</v>
      </c>
      <c r="G58" s="216">
        <v>9999999</v>
      </c>
      <c r="H58" s="252">
        <v>0.315</v>
      </c>
      <c r="I58" s="253">
        <f t="shared" si="32"/>
        <v>0.0088888008888800881</v>
      </c>
      <c r="J58" s="253">
        <f t="shared" si="33"/>
        <v>0.0088104862310381706</v>
      </c>
      <c r="K58" s="254">
        <v>0.84999999999999998</v>
      </c>
      <c r="L58" s="255">
        <f t="shared" si="34"/>
        <v>0.84485581772664475</v>
      </c>
    </row>
    <row r="59" ht="15" customHeight="1" outlineLevel="1">
      <c r="A59" s="23"/>
      <c r="B59" s="248" t="s">
        <v>74</v>
      </c>
      <c r="C59" s="249" t="s">
        <v>75</v>
      </c>
      <c r="D59" s="250" t="s">
        <v>64</v>
      </c>
      <c r="E59" s="251"/>
      <c r="F59" s="216">
        <v>88888</v>
      </c>
      <c r="G59" s="216">
        <v>9999999</v>
      </c>
      <c r="H59" s="252">
        <v>0.315</v>
      </c>
      <c r="I59" s="253">
        <f t="shared" si="32"/>
        <v>0.0088888008888800881</v>
      </c>
      <c r="J59" s="253">
        <f t="shared" si="33"/>
        <v>0.0088104862310381706</v>
      </c>
      <c r="K59" s="254">
        <v>0.84999999999999998</v>
      </c>
      <c r="L59" s="255">
        <f t="shared" si="34"/>
        <v>0.84485581772664475</v>
      </c>
    </row>
    <row r="60" ht="15" customHeight="1" outlineLevel="1">
      <c r="A60" s="23"/>
      <c r="B60" s="248" t="s">
        <v>76</v>
      </c>
      <c r="C60" s="249" t="s">
        <v>77</v>
      </c>
      <c r="D60" s="250" t="s">
        <v>67</v>
      </c>
      <c r="E60" s="251"/>
      <c r="F60" s="216">
        <v>88888</v>
      </c>
      <c r="G60" s="216">
        <v>9999999</v>
      </c>
      <c r="H60" s="252">
        <v>0.315</v>
      </c>
      <c r="I60" s="253">
        <f t="shared" si="32"/>
        <v>0.0088888008888800881</v>
      </c>
      <c r="J60" s="253">
        <f t="shared" si="33"/>
        <v>0.0088104862310381706</v>
      </c>
      <c r="K60" s="254">
        <v>0.84999999999999998</v>
      </c>
      <c r="L60" s="255">
        <f t="shared" si="34"/>
        <v>0.84485581772664475</v>
      </c>
    </row>
    <row r="61" ht="15" customHeight="1" outlineLevel="1">
      <c r="A61" s="23"/>
      <c r="B61" s="248" t="s">
        <v>78</v>
      </c>
      <c r="C61" s="249" t="s">
        <v>79</v>
      </c>
      <c r="D61" s="250" t="s">
        <v>64</v>
      </c>
      <c r="E61" s="251"/>
      <c r="F61" s="216">
        <v>88888</v>
      </c>
      <c r="G61" s="216">
        <v>9999999</v>
      </c>
      <c r="H61" s="252">
        <v>0.315</v>
      </c>
      <c r="I61" s="253">
        <f t="shared" si="32"/>
        <v>0.0088888008888800881</v>
      </c>
      <c r="J61" s="253">
        <f t="shared" si="33"/>
        <v>0.0088104862310381706</v>
      </c>
      <c r="K61" s="254">
        <v>0.84999999999999998</v>
      </c>
      <c r="L61" s="255">
        <f t="shared" si="34"/>
        <v>0.84485581772664475</v>
      </c>
    </row>
    <row r="62" ht="15" customHeight="1" outlineLevel="1">
      <c r="A62" s="23"/>
      <c r="B62" s="248" t="s">
        <v>80</v>
      </c>
      <c r="C62" s="249" t="s">
        <v>81</v>
      </c>
      <c r="D62" s="250" t="s">
        <v>82</v>
      </c>
      <c r="E62" s="251"/>
      <c r="F62" s="216">
        <v>88888</v>
      </c>
      <c r="G62" s="216">
        <v>9999999</v>
      </c>
      <c r="H62" s="252">
        <v>0.315</v>
      </c>
      <c r="I62" s="253">
        <f t="shared" si="32"/>
        <v>0.0088888008888800881</v>
      </c>
      <c r="J62" s="253">
        <f t="shared" si="33"/>
        <v>0.0088104862310381706</v>
      </c>
      <c r="K62" s="254">
        <v>0.99399000000000004</v>
      </c>
      <c r="L62" s="255">
        <f t="shared" si="34"/>
        <v>0.98797439324953851</v>
      </c>
    </row>
    <row r="63" ht="15" customHeight="1" outlineLevel="1">
      <c r="A63" s="23"/>
      <c r="B63" s="256" t="s">
        <v>83</v>
      </c>
      <c r="C63" s="257" t="s">
        <v>84</v>
      </c>
      <c r="D63" s="258" t="s">
        <v>85</v>
      </c>
      <c r="E63" s="259"/>
      <c r="F63" s="260">
        <v>88888</v>
      </c>
      <c r="G63" s="260">
        <v>9999999</v>
      </c>
      <c r="H63" s="261">
        <v>0.315</v>
      </c>
      <c r="I63" s="262">
        <f t="shared" si="32"/>
        <v>0.0088888008888800881</v>
      </c>
      <c r="J63" s="262">
        <f t="shared" si="33"/>
        <v>0.0088104862310381706</v>
      </c>
      <c r="K63" s="263">
        <v>0.88324000000000003</v>
      </c>
      <c r="L63" s="264">
        <f t="shared" si="34"/>
        <v>0.87789464993986088</v>
      </c>
    </row>
    <row r="64" ht="15" customHeight="1" outlineLevel="1">
      <c r="A64" s="23"/>
      <c r="C64" s="73"/>
      <c r="D64" s="73"/>
      <c r="E64" s="73"/>
      <c r="F64" s="216"/>
      <c r="G64" s="216"/>
      <c r="H64" s="193"/>
      <c r="I64" s="265">
        <f>'Inputs-R'!Q51</f>
        <v>0</v>
      </c>
      <c r="J64" s="265">
        <f>'Inputs-R'!U51</f>
        <v>0</v>
      </c>
      <c r="K64" s="266"/>
      <c r="L64" s="265">
        <f>'Inputs-R'!Y51</f>
        <v>0</v>
      </c>
    </row>
    <row r="65" ht="15" customHeight="1" outlineLevel="1">
      <c r="A65" s="23"/>
      <c r="B65" s="11"/>
      <c r="C65" s="12"/>
      <c r="D65" s="12"/>
      <c r="E65" s="12"/>
      <c r="F65" s="14"/>
      <c r="G65" s="267" t="s">
        <v>49</v>
      </c>
      <c r="H65" s="268">
        <f>AVERAGE(H54:H63)</f>
        <v>0.315</v>
      </c>
      <c r="I65" s="269">
        <f>AVERAGE(I54:I63)</f>
        <v>0.0088888008888800864</v>
      </c>
      <c r="J65" s="269">
        <f>AVERAGE(J54:J63)</f>
        <v>0.0088104862310381688</v>
      </c>
      <c r="K65" s="270">
        <f>AVERAGE(K54:K63)</f>
        <v>0.86772300000000002</v>
      </c>
      <c r="L65" s="270">
        <f>AVERAGE(L54:L63)</f>
        <v>0.8624715585002557</v>
      </c>
    </row>
    <row r="66" ht="15" customHeight="1" outlineLevel="1">
      <c r="A66" s="23"/>
      <c r="B66" s="11"/>
      <c r="C66" s="12"/>
      <c r="D66" s="12"/>
      <c r="E66" s="12"/>
      <c r="F66" s="14"/>
      <c r="G66" s="271" t="s">
        <v>86</v>
      </c>
      <c r="H66" s="272">
        <f>MEDIAN(H54:H63)</f>
        <v>0.315</v>
      </c>
      <c r="I66" s="273">
        <f>MEDIAN(I54:I63)</f>
        <v>0.0088888008888800881</v>
      </c>
      <c r="J66" s="273">
        <f>MEDIAN(J54:J63)</f>
        <v>0.0088104862310381706</v>
      </c>
      <c r="K66" s="274">
        <f>MEDIAN(K54:K63)</f>
        <v>0.84999999999999998</v>
      </c>
      <c r="L66" s="274">
        <f>MEDIAN(L54:L63)</f>
        <v>0.84485581772664475</v>
      </c>
    </row>
    <row r="67" ht="15" customHeight="1" outlineLevel="1">
      <c r="A67" s="23"/>
      <c r="B67" s="11"/>
      <c r="C67" s="12"/>
      <c r="D67" s="12"/>
      <c r="E67" s="12"/>
      <c r="F67" s="14"/>
      <c r="G67" s="14"/>
      <c r="H67" s="275"/>
      <c r="I67" s="74"/>
      <c r="J67" s="74"/>
      <c r="K67" s="276"/>
      <c r="L67" s="276"/>
    </row>
    <row r="68" ht="15" customHeight="1" outlineLevel="1">
      <c r="A68" s="23"/>
      <c r="B68" s="73"/>
      <c r="C68" s="12"/>
      <c r="D68" s="12"/>
      <c r="E68" s="12"/>
      <c r="F68" s="277"/>
      <c r="G68" s="278"/>
      <c r="H68" s="278"/>
      <c r="I68" s="279"/>
      <c r="J68" s="279"/>
      <c r="K68" s="279"/>
      <c r="L68" s="279"/>
      <c r="M68" s="279"/>
    </row>
    <row r="69" ht="15" customHeight="1" outlineLevel="1">
      <c r="A69" s="23"/>
      <c r="B69" s="280" t="s">
        <v>87</v>
      </c>
      <c r="C69" s="134"/>
      <c r="D69" s="134"/>
      <c r="E69" s="134"/>
      <c r="F69" s="281"/>
      <c r="H69" s="280" t="s">
        <v>88</v>
      </c>
      <c r="I69" s="282"/>
      <c r="J69" s="134"/>
      <c r="K69" s="282"/>
      <c r="L69" s="281"/>
    </row>
    <row r="70" s="4" customFormat="1" ht="15" customHeight="1" outlineLevel="1">
      <c r="B70" s="283"/>
      <c r="C70" s="283"/>
      <c r="D70" s="283"/>
      <c r="E70" s="283"/>
      <c r="F70" s="283"/>
      <c r="H70" s="283"/>
      <c r="I70" s="283"/>
      <c r="J70" s="283"/>
      <c r="K70" s="283"/>
      <c r="L70" s="283"/>
    </row>
    <row r="71" s="4" customFormat="1" ht="15" customHeight="1" outlineLevel="1">
      <c r="B71" s="284" t="s">
        <v>89</v>
      </c>
      <c r="C71" s="1"/>
      <c r="D71" s="34"/>
      <c r="E71" s="34"/>
      <c r="F71" s="193">
        <v>0.047</v>
      </c>
      <c r="G71"/>
      <c r="H71" s="284" t="s">
        <v>90</v>
      </c>
      <c r="I71" s="1"/>
      <c r="J71" s="1"/>
      <c r="K71" s="1"/>
      <c r="L71" s="193">
        <v>0.024</v>
      </c>
    </row>
    <row r="72" ht="15" customHeight="1" outlineLevel="1">
      <c r="A72" s="23"/>
      <c r="B72" s="284" t="s">
        <v>91</v>
      </c>
      <c r="F72" s="285">
        <f>L65</f>
        <v>0.8624715585002557</v>
      </c>
      <c r="G72"/>
      <c r="H72" s="284" t="s">
        <v>92</v>
      </c>
      <c r="J72" s="4"/>
      <c r="L72" s="286">
        <f>F74</f>
        <v>0.045901243679594486</v>
      </c>
    </row>
    <row r="73" ht="15" customHeight="1" outlineLevel="1">
      <c r="A73" s="23"/>
      <c r="B73" s="287" t="s">
        <v>93</v>
      </c>
      <c r="F73" s="288">
        <f>F72*(1+(1-L81)*F85)</f>
        <v>0.97662220594881888</v>
      </c>
      <c r="G73"/>
      <c r="H73" s="284" t="s">
        <v>94</v>
      </c>
      <c r="L73" s="196">
        <v>0.035999999999999997</v>
      </c>
    </row>
    <row r="74" ht="15" customHeight="1" outlineLevel="1">
      <c r="A74" s="23"/>
      <c r="B74" s="284" t="s">
        <v>92</v>
      </c>
      <c r="F74" s="286">
        <f>F71*F73</f>
        <v>0.045901243679594486</v>
      </c>
      <c r="G74"/>
      <c r="H74" s="284" t="s">
        <v>88</v>
      </c>
      <c r="J74" s="4"/>
      <c r="L74" s="286">
        <f>SUM(L71:L73)</f>
        <v>0.1059012436795945</v>
      </c>
    </row>
    <row r="75" ht="15" customHeight="1" outlineLevel="1">
      <c r="A75" s="23"/>
      <c r="G75"/>
    </row>
    <row r="76" s="4" customFormat="1" ht="15" customHeight="1" outlineLevel="1">
      <c r="G76"/>
    </row>
    <row r="77" s="4" customFormat="1" ht="15" customHeight="1" outlineLevel="1">
      <c r="G77"/>
      <c r="I77" s="289"/>
      <c r="K77" s="289"/>
      <c r="L77" s="289"/>
    </row>
    <row r="78" ht="15" customHeight="1" outlineLevel="1">
      <c r="A78" s="23"/>
      <c r="B78" s="280" t="s">
        <v>95</v>
      </c>
      <c r="C78" s="134"/>
      <c r="D78" s="134"/>
      <c r="E78" s="290"/>
      <c r="F78" s="290"/>
      <c r="G78"/>
      <c r="H78" s="280" t="s">
        <v>96</v>
      </c>
      <c r="I78" s="134"/>
      <c r="J78" s="134"/>
      <c r="K78" s="134"/>
      <c r="L78" s="281"/>
    </row>
    <row r="79" ht="15" customHeight="1" outlineLevel="1">
      <c r="A79" s="23"/>
      <c r="C79" s="283"/>
      <c r="D79" s="283"/>
      <c r="E79" s="283"/>
      <c r="F79" s="283"/>
      <c r="G79"/>
      <c r="H79" s="283"/>
      <c r="I79" s="283"/>
      <c r="J79" s="283"/>
      <c r="K79" s="283"/>
      <c r="L79" s="283"/>
    </row>
    <row r="80" ht="15" customHeight="1" outlineLevel="1">
      <c r="A80" s="23"/>
      <c r="B80" s="11"/>
      <c r="E80" s="291" t="s">
        <v>97</v>
      </c>
      <c r="F80" s="291" t="s">
        <v>98</v>
      </c>
      <c r="G80"/>
      <c r="H80" s="284" t="s">
        <v>99</v>
      </c>
      <c r="I80" s="4"/>
      <c r="K80" s="4"/>
      <c r="L80" s="193">
        <v>0.051999999999999998</v>
      </c>
    </row>
    <row r="81" ht="15" customHeight="1" outlineLevel="1">
      <c r="A81" s="23"/>
      <c r="B81" s="284" t="s">
        <v>100</v>
      </c>
      <c r="C81" s="4"/>
      <c r="D81" s="292">
        <v>19102</v>
      </c>
      <c r="E81" s="286">
        <f>D81/D83</f>
        <v>0.13153654404979961</v>
      </c>
      <c r="F81" s="193">
        <v>0.14999999999999999</v>
      </c>
      <c r="G81"/>
      <c r="H81" s="284" t="s">
        <v>101</v>
      </c>
      <c r="L81" s="196">
        <v>0.25</v>
      </c>
    </row>
    <row r="82" ht="15" customHeight="1" outlineLevel="1">
      <c r="A82" s="23"/>
      <c r="B82" s="284" t="s">
        <v>102</v>
      </c>
      <c r="D82" s="293">
        <v>126120</v>
      </c>
      <c r="E82" s="294">
        <f>D82/D83</f>
        <v>0.86846345595020036</v>
      </c>
      <c r="F82" s="294">
        <v>0.84999999999999998</v>
      </c>
      <c r="G82"/>
      <c r="H82" s="284" t="s">
        <v>103</v>
      </c>
      <c r="L82" s="286">
        <f>L80*(1-L81)</f>
        <v>0.039</v>
      </c>
    </row>
    <row r="83" ht="15" customHeight="1" outlineLevel="1">
      <c r="A83" s="23"/>
      <c r="B83" s="284" t="s">
        <v>104</v>
      </c>
      <c r="D83" s="295">
        <f>SUM(D81:D82)</f>
        <v>145222</v>
      </c>
      <c r="E83" s="286">
        <f>SUM(E81:E82)</f>
        <v>1</v>
      </c>
      <c r="F83" s="286">
        <f>SUM(F81:F82)</f>
        <v>1</v>
      </c>
      <c r="G83"/>
    </row>
    <row r="84" ht="15" customHeight="1" outlineLevel="1">
      <c r="A84" s="23"/>
      <c r="F84" s="14"/>
      <c r="G84"/>
    </row>
    <row r="85" ht="15" customHeight="1" outlineLevel="1">
      <c r="A85" s="23"/>
      <c r="B85" s="296" t="s">
        <v>105</v>
      </c>
      <c r="C85" s="297"/>
      <c r="D85" s="297"/>
      <c r="E85" s="298">
        <f>E81/E82</f>
        <v>0.15145892800507454</v>
      </c>
      <c r="F85" s="298">
        <f>F81/F82</f>
        <v>0.17647058823529413</v>
      </c>
      <c r="G85"/>
      <c r="H85" s="280" t="s">
        <v>48</v>
      </c>
      <c r="I85" s="282"/>
      <c r="J85" s="134"/>
      <c r="K85" s="281"/>
      <c r="L85" s="134"/>
    </row>
    <row r="86" s="4" customFormat="1" ht="15" customHeight="1" outlineLevel="1">
      <c r="B86" s="61"/>
      <c r="C86" s="1"/>
      <c r="D86" s="1"/>
      <c r="E86" s="1"/>
      <c r="F86" s="1"/>
      <c r="G86"/>
      <c r="H86" s="283"/>
      <c r="I86" s="283"/>
      <c r="J86" s="283"/>
      <c r="K86" s="283"/>
      <c r="L86" s="283"/>
    </row>
    <row r="87" s="4" customFormat="1" ht="15" customHeight="1" outlineLevel="1">
      <c r="B87" s="73"/>
      <c r="C87" s="1"/>
      <c r="D87" s="1"/>
      <c r="E87" s="1"/>
      <c r="F87" s="1"/>
      <c r="G87"/>
      <c r="K87" s="291" t="s">
        <v>106</v>
      </c>
      <c r="L87" s="291" t="s">
        <v>107</v>
      </c>
    </row>
    <row r="88" ht="15" customHeight="1" outlineLevel="1">
      <c r="A88" s="23"/>
      <c r="B88" s="299" t="s">
        <v>108</v>
      </c>
      <c r="C88" s="4"/>
      <c r="D88" s="300"/>
      <c r="E88" s="300"/>
      <c r="F88" s="300"/>
      <c r="G88"/>
      <c r="H88" s="284" t="s">
        <v>109</v>
      </c>
      <c r="J88"/>
      <c r="K88" s="286">
        <f t="shared" ref="K88:K89" si="35">F81</f>
        <v>0.14999999999999999</v>
      </c>
      <c r="L88" s="286">
        <f>L82</f>
        <v>0.039</v>
      </c>
    </row>
    <row r="89" ht="15" customHeight="1" outlineLevel="1">
      <c r="A89" s="23"/>
      <c r="B89" s="301" t="s">
        <v>110</v>
      </c>
      <c r="C89" s="4"/>
      <c r="D89" s="300"/>
      <c r="E89" s="300"/>
      <c r="F89" s="300"/>
      <c r="G89"/>
      <c r="H89" s="284" t="s">
        <v>111</v>
      </c>
      <c r="J89"/>
      <c r="K89" s="286">
        <f t="shared" si="35"/>
        <v>0.84999999999999998</v>
      </c>
      <c r="L89" s="286">
        <f>L74</f>
        <v>0.1059012436795945</v>
      </c>
    </row>
    <row r="90" ht="15" customHeight="1" outlineLevel="1">
      <c r="A90" s="23"/>
      <c r="B90" s="302" t="s">
        <v>112</v>
      </c>
      <c r="G90"/>
    </row>
    <row r="91" ht="15" customHeight="1" outlineLevel="1">
      <c r="B91" s="303" t="s">
        <v>113</v>
      </c>
      <c r="G91"/>
      <c r="H91" s="4"/>
      <c r="I91" s="4"/>
      <c r="J91" s="4"/>
      <c r="K91" s="4"/>
      <c r="L91" s="304"/>
    </row>
    <row r="92" s="4" customFormat="1" ht="15" customHeight="1" outlineLevel="1">
      <c r="B92" s="67"/>
      <c r="G92"/>
      <c r="H92" s="284" t="s">
        <v>48</v>
      </c>
      <c r="I92" s="1"/>
      <c r="J92" s="1"/>
      <c r="L92" s="305">
        <f>K88*L88+K89*L89</f>
        <v>0.095866057127655321</v>
      </c>
    </row>
    <row r="93" ht="15" customHeight="1" outlineLevel="1">
      <c r="B93" s="133" t="str">
        <f>'Inputs-R'!Y86</f>
        <v/>
      </c>
      <c r="G93"/>
    </row>
    <row r="94" s="54" customFormat="1" ht="15" customHeight="1" outlineLevel="1">
      <c r="B94" s="231"/>
      <c r="C94" s="231"/>
      <c r="D94" s="231"/>
      <c r="E94" s="231"/>
      <c r="F94" s="231"/>
      <c r="G94"/>
      <c r="H94" s="232"/>
      <c r="I94" s="232"/>
      <c r="J94" s="232"/>
      <c r="K94" s="232"/>
      <c r="L94" s="232"/>
      <c r="M94" s="230"/>
    </row>
    <row r="95" ht="15" customHeight="1">
      <c r="G95"/>
    </row>
    <row r="96" ht="15" customHeight="1">
      <c r="A96" s="172" t="s">
        <v>0</v>
      </c>
      <c r="B96" s="6" t="s">
        <v>114</v>
      </c>
      <c r="C96" s="7"/>
      <c r="D96" s="8"/>
      <c r="E96" s="8"/>
      <c r="F96" s="9"/>
      <c r="G96"/>
      <c r="H96" s="9"/>
      <c r="I96" s="9"/>
      <c r="J96" s="9"/>
      <c r="K96" s="9"/>
      <c r="L96" s="9"/>
      <c r="M96" s="10"/>
    </row>
    <row r="97" ht="15" customHeight="1" outlineLevel="1">
      <c r="A97" s="172"/>
      <c r="B97" s="11"/>
      <c r="C97" s="173"/>
      <c r="D97" s="173"/>
      <c r="E97" s="173"/>
      <c r="F97" s="173"/>
      <c r="G97"/>
      <c r="H97" s="175"/>
      <c r="I97" s="175"/>
      <c r="J97" s="175"/>
      <c r="K97" s="175"/>
      <c r="L97" s="175"/>
      <c r="M97" s="172"/>
    </row>
    <row r="98" ht="15" customHeight="1" outlineLevel="1">
      <c r="A98" s="23"/>
      <c r="B98" s="11" t="s">
        <v>3</v>
      </c>
      <c r="C98" s="12"/>
      <c r="D98" s="12"/>
      <c r="E98" s="12"/>
      <c r="F98" s="14"/>
      <c r="G98"/>
      <c r="H98" s="14"/>
      <c r="I98" s="16"/>
      <c r="J98" s="16"/>
      <c r="K98" s="16"/>
      <c r="L98" s="16"/>
      <c r="M98" s="16"/>
    </row>
    <row r="99" ht="15" customHeight="1" outlineLevel="1">
      <c r="A99" s="23"/>
      <c r="C99" s="12"/>
      <c r="D99" s="12"/>
      <c r="E99" s="12"/>
      <c r="F99" s="14"/>
      <c r="G99"/>
      <c r="H99" s="233"/>
      <c r="I99" s="233"/>
      <c r="J99" s="233"/>
      <c r="K99" s="233"/>
      <c r="L99" s="233"/>
      <c r="M99" s="233"/>
    </row>
    <row r="100" ht="15" customHeight="1" outlineLevel="1">
      <c r="A100" s="23"/>
      <c r="C100" s="12"/>
      <c r="D100" s="12"/>
      <c r="E100" s="12"/>
      <c r="F100" s="14"/>
      <c r="G100"/>
      <c r="H100" s="233"/>
      <c r="I100" s="233"/>
      <c r="J100" s="233"/>
      <c r="K100" s="233"/>
      <c r="L100" s="233"/>
      <c r="M100" s="233"/>
    </row>
    <row r="101" ht="15" customHeight="1" outlineLevel="1">
      <c r="A101" s="172"/>
      <c r="B101" s="306" t="s">
        <v>115</v>
      </c>
      <c r="C101" s="307"/>
      <c r="D101" s="307"/>
      <c r="E101" s="307"/>
      <c r="F101" s="307"/>
      <c r="G101"/>
      <c r="H101" s="306" t="str">
        <f>CONCATENATE("End of ",G5-1," Balances")</f>
        <v xml:space="preserve">End of 2022 Balances</v>
      </c>
    </row>
    <row r="102" ht="15" customHeight="1" outlineLevel="1">
      <c r="A102" s="172"/>
      <c r="B102" s="308" t="s">
        <v>116</v>
      </c>
      <c r="C102" s="309"/>
      <c r="D102" s="310"/>
      <c r="E102" s="311" t="s">
        <v>117</v>
      </c>
      <c r="F102" s="312">
        <v>45016</v>
      </c>
      <c r="G102"/>
      <c r="H102" s="309" t="s">
        <v>16</v>
      </c>
      <c r="I102" s="309"/>
      <c r="J102" s="313"/>
      <c r="K102" s="24"/>
      <c r="L102" s="314">
        <v>18642</v>
      </c>
    </row>
    <row r="103" ht="15" customHeight="1" outlineLevel="1">
      <c r="A103" s="172"/>
      <c r="B103" s="315" t="s">
        <v>118</v>
      </c>
      <c r="C103" s="17"/>
      <c r="D103" s="249"/>
      <c r="E103" s="226" t="s">
        <v>117</v>
      </c>
      <c r="F103" s="316">
        <v>45107</v>
      </c>
      <c r="G103"/>
      <c r="H103" s="307" t="s">
        <v>119</v>
      </c>
      <c r="I103" s="317"/>
      <c r="J103" s="307"/>
      <c r="L103" s="318">
        <v>75407</v>
      </c>
    </row>
    <row r="104" ht="15" customHeight="1" outlineLevel="1">
      <c r="A104" s="172"/>
      <c r="B104" s="17" t="s">
        <v>120</v>
      </c>
      <c r="C104" s="249"/>
      <c r="D104" s="249"/>
      <c r="E104" s="226" t="s">
        <v>117</v>
      </c>
      <c r="F104" s="316">
        <v>45291</v>
      </c>
      <c r="G104"/>
      <c r="H104" s="307" t="s">
        <v>121</v>
      </c>
      <c r="I104" s="317"/>
      <c r="J104" s="317"/>
      <c r="L104" s="318">
        <v>39211</v>
      </c>
    </row>
    <row r="105" ht="15" customHeight="1" outlineLevel="1">
      <c r="A105" s="172"/>
      <c r="B105" s="17" t="s">
        <v>122</v>
      </c>
      <c r="C105" s="17"/>
      <c r="D105" s="249"/>
      <c r="E105" s="226" t="s">
        <v>123</v>
      </c>
      <c r="F105" s="319">
        <f>YEAR(F104)</f>
        <v>2023</v>
      </c>
      <c r="G105"/>
      <c r="H105" s="307" t="s">
        <v>124</v>
      </c>
      <c r="I105" s="307"/>
      <c r="J105" s="307"/>
      <c r="L105" s="320">
        <v>24128</v>
      </c>
    </row>
    <row r="106" ht="15" customHeight="1" outlineLevel="1">
      <c r="A106" s="172"/>
      <c r="B106" s="315" t="s">
        <v>125</v>
      </c>
      <c r="C106" s="249"/>
      <c r="D106" s="249"/>
      <c r="E106" s="249"/>
      <c r="F106" s="321">
        <f t="shared" ref="F106:F107" si="36">IF(F102&gt;F103,1,0)</f>
        <v>0</v>
      </c>
      <c r="G106"/>
      <c r="H106" s="307" t="s">
        <v>126</v>
      </c>
      <c r="L106" s="322">
        <v>5</v>
      </c>
    </row>
    <row r="107" ht="15" customHeight="1" outlineLevel="1">
      <c r="A107" s="172"/>
      <c r="B107" s="315" t="s">
        <v>127</v>
      </c>
      <c r="C107" s="17"/>
      <c r="D107" s="17"/>
      <c r="E107" s="249"/>
      <c r="F107" s="321">
        <f t="shared" si="36"/>
        <v>0</v>
      </c>
      <c r="G107"/>
      <c r="H107" s="307" t="s">
        <v>128</v>
      </c>
      <c r="L107" s="322">
        <v>3.2000000000000002</v>
      </c>
    </row>
    <row r="108" ht="15" customHeight="1" outlineLevel="1">
      <c r="A108" s="172"/>
      <c r="B108" s="17" t="s">
        <v>129</v>
      </c>
      <c r="C108" s="323"/>
      <c r="D108" s="323"/>
      <c r="E108" s="249"/>
      <c r="F108" s="292">
        <v>365</v>
      </c>
      <c r="G108"/>
    </row>
    <row r="109" ht="15" customHeight="1" outlineLevel="1">
      <c r="A109" s="172"/>
      <c r="C109" s="323"/>
      <c r="D109" s="323"/>
      <c r="E109" s="249"/>
      <c r="F109" s="292"/>
      <c r="G109"/>
    </row>
    <row r="110" ht="15" customHeight="1" outlineLevel="1">
      <c r="A110" s="172"/>
      <c r="G110"/>
    </row>
    <row r="111" ht="15" customHeight="1" outlineLevel="1">
      <c r="A111" s="172"/>
      <c r="G111"/>
      <c r="H111" s="324" t="s">
        <v>114</v>
      </c>
      <c r="I111" s="325"/>
      <c r="J111" s="325"/>
      <c r="K111" s="325"/>
      <c r="L111" s="325"/>
    </row>
    <row r="112" ht="15" customHeight="1" outlineLevel="1">
      <c r="A112" s="172"/>
      <c r="B112" s="306" t="s">
        <v>130</v>
      </c>
      <c r="C112" s="307"/>
      <c r="D112" s="307"/>
      <c r="E112" s="307"/>
      <c r="F112" s="307"/>
      <c r="G112"/>
      <c r="H112" s="17" t="s">
        <v>131</v>
      </c>
      <c r="I112" s="17"/>
      <c r="J112" s="17"/>
      <c r="K112" s="17"/>
      <c r="L112" s="326">
        <v>0.5</v>
      </c>
    </row>
    <row r="113" ht="15" customHeight="1" outlineLevel="1">
      <c r="A113" s="172"/>
      <c r="B113" s="309" t="s">
        <v>18</v>
      </c>
      <c r="C113" s="309"/>
      <c r="D113" s="309"/>
      <c r="E113" s="311" t="s">
        <v>19</v>
      </c>
      <c r="F113" s="314">
        <v>34200</v>
      </c>
      <c r="G113"/>
      <c r="H113" s="66" t="s">
        <v>132</v>
      </c>
      <c r="I113" s="327"/>
      <c r="J113" s="328"/>
      <c r="K113" s="329"/>
      <c r="L113" s="330">
        <v>0.14999999999999999</v>
      </c>
    </row>
    <row r="114" s="54" customFormat="1" ht="15" customHeight="1" outlineLevel="1">
      <c r="B114" s="66" t="s">
        <v>21</v>
      </c>
      <c r="C114" s="66"/>
      <c r="D114" s="66"/>
      <c r="E114" s="331" t="s">
        <v>22</v>
      </c>
      <c r="F114" s="322">
        <v>2.23</v>
      </c>
      <c r="G114"/>
      <c r="H114" s="17" t="s">
        <v>133</v>
      </c>
      <c r="I114" s="17"/>
      <c r="J114" s="17"/>
      <c r="K114" s="17"/>
      <c r="L114" s="326">
        <v>0.5</v>
      </c>
      <c r="M114" s="1"/>
    </row>
    <row r="115" s="54" customFormat="1" ht="15" customHeight="1" outlineLevel="1">
      <c r="B115" s="17" t="s">
        <v>13</v>
      </c>
      <c r="C115" s="17"/>
      <c r="D115" s="17"/>
      <c r="E115" s="249"/>
      <c r="F115" s="332">
        <f>L10</f>
        <v>0.01</v>
      </c>
      <c r="G115"/>
      <c r="H115" s="17" t="s">
        <v>134</v>
      </c>
      <c r="I115" s="17"/>
      <c r="J115" s="17"/>
      <c r="K115" s="333" t="s">
        <v>135</v>
      </c>
      <c r="L115" s="334">
        <v>16</v>
      </c>
      <c r="M115" s="204"/>
    </row>
    <row r="116" s="54" customFormat="1" ht="15" customHeight="1" outlineLevel="1">
      <c r="B116" s="17" t="s">
        <v>136</v>
      </c>
      <c r="C116" s="17"/>
      <c r="D116" s="17"/>
      <c r="E116" s="333"/>
      <c r="F116" s="335">
        <v>7</v>
      </c>
      <c r="G116"/>
      <c r="H116" s="17" t="s">
        <v>137</v>
      </c>
      <c r="I116" s="17"/>
      <c r="J116" s="17"/>
      <c r="K116" s="333" t="s">
        <v>135</v>
      </c>
      <c r="L116" s="334">
        <v>20</v>
      </c>
      <c r="M116" s="204"/>
    </row>
    <row r="117" s="54" customFormat="1" ht="15" customHeight="1" outlineLevel="1">
      <c r="B117" s="17" t="s">
        <v>138</v>
      </c>
      <c r="C117" s="17"/>
      <c r="D117" s="17"/>
      <c r="E117" s="249"/>
      <c r="F117" s="336">
        <f>L92</f>
        <v>0.095866057127655321</v>
      </c>
      <c r="G117"/>
      <c r="H117" s="17" t="s">
        <v>139</v>
      </c>
      <c r="I117" s="17"/>
      <c r="J117" s="17"/>
      <c r="L117" s="326">
        <v>0.20000000000000001</v>
      </c>
      <c r="M117" s="204"/>
    </row>
    <row r="118" s="54" customFormat="1" ht="15" customHeight="1" outlineLevel="1">
      <c r="B118" s="315" t="s">
        <v>140</v>
      </c>
      <c r="C118" s="327"/>
      <c r="D118" s="328"/>
      <c r="E118" s="329"/>
      <c r="F118" s="337">
        <f>IF(F115&gt;=F117,1,0)</f>
        <v>0</v>
      </c>
      <c r="G118"/>
      <c r="H118" s="17"/>
      <c r="I118" s="17"/>
      <c r="J118" s="17"/>
      <c r="K118" s="333"/>
      <c r="L118" s="335"/>
      <c r="M118" s="204"/>
    </row>
    <row r="119" s="54" customFormat="1" ht="15" customHeight="1" outlineLevel="1">
      <c r="B119" s="66"/>
      <c r="C119" s="66"/>
      <c r="D119" s="66"/>
      <c r="E119" s="331"/>
      <c r="F119" s="322"/>
      <c r="G119"/>
      <c r="H119" s="17"/>
      <c r="I119" s="17"/>
      <c r="J119" s="17"/>
      <c r="K119" s="333"/>
      <c r="L119" s="335"/>
      <c r="M119" s="204"/>
    </row>
    <row r="120" s="54" customFormat="1" ht="15" customHeight="1" outlineLevel="1">
      <c r="B120" s="338" t="s">
        <v>141</v>
      </c>
      <c r="C120" s="307"/>
      <c r="D120" s="307"/>
      <c r="F120" s="307"/>
      <c r="G120"/>
      <c r="H120" s="17"/>
      <c r="I120" s="17"/>
      <c r="J120" s="17"/>
      <c r="K120" s="333"/>
      <c r="L120" s="335"/>
      <c r="M120" s="204"/>
    </row>
    <row r="121" s="54" customFormat="1" ht="15" customHeight="1" outlineLevel="1">
      <c r="B121" s="339" t="s">
        <v>142</v>
      </c>
      <c r="C121" s="309"/>
      <c r="D121" s="309"/>
      <c r="F121" s="340">
        <v>0.01</v>
      </c>
      <c r="G121"/>
      <c r="H121" s="17"/>
      <c r="I121" s="17"/>
      <c r="J121" s="17"/>
      <c r="K121" s="333"/>
      <c r="L121" s="335"/>
      <c r="M121" s="204"/>
    </row>
    <row r="122" s="54" customFormat="1" ht="15" customHeight="1" outlineLevel="1">
      <c r="B122" s="341" t="s">
        <v>143</v>
      </c>
      <c r="C122" s="17"/>
      <c r="D122" s="17"/>
      <c r="F122" s="332">
        <v>0.050000000000000003</v>
      </c>
      <c r="G122"/>
      <c r="H122" s="17"/>
      <c r="I122" s="17"/>
      <c r="J122" s="17"/>
      <c r="K122" s="333"/>
      <c r="L122" s="335"/>
      <c r="M122" s="204"/>
    </row>
    <row r="123" s="54" customFormat="1" ht="15" customHeight="1" outlineLevel="1">
      <c r="B123" s="341" t="s">
        <v>144</v>
      </c>
      <c r="C123" s="17"/>
      <c r="D123" s="17"/>
      <c r="F123" s="332">
        <v>0.059999999999999998</v>
      </c>
      <c r="G123"/>
      <c r="H123" s="1"/>
      <c r="I123" s="1"/>
      <c r="J123" s="1"/>
      <c r="K123" s="1"/>
      <c r="L123" s="132" t="s">
        <v>145</v>
      </c>
      <c r="M123" s="204"/>
    </row>
    <row r="124" s="54" customFormat="1" ht="15" customHeight="1" outlineLevel="1">
      <c r="B124" s="341"/>
      <c r="C124" s="17"/>
      <c r="D124" s="17"/>
      <c r="F124" s="332"/>
      <c r="G124"/>
      <c r="H124" s="134"/>
      <c r="I124" s="134"/>
      <c r="J124" s="134"/>
      <c r="K124" s="134"/>
      <c r="L124" s="134" t="s">
        <v>0</v>
      </c>
      <c r="M124" s="204"/>
    </row>
    <row r="125" ht="15" customHeight="1" outlineLevel="1">
      <c r="B125" s="133" t="str">
        <f>'Inputs-R'!Q112</f>
        <v>COMPLETE</v>
      </c>
      <c r="G125"/>
    </row>
    <row r="126" ht="15" customHeight="1" outlineLevel="1">
      <c r="B126" s="134"/>
      <c r="C126" s="134"/>
      <c r="D126" s="134"/>
      <c r="E126" s="134"/>
      <c r="F126" s="134"/>
      <c r="G126"/>
    </row>
  </sheetData>
  <printOptions headings="0" gridLines="0" horizontalCentered="1"/>
  <pageMargins left="0.11811023622047245" right="0.11811023622047245" top="0.11811023622047245" bottom="0.11811023622047245" header="0.11811023622047245" footer="0.11811023622047245"/>
  <pageSetup paperSize="9" scale="88" fitToWidth="1" fitToHeight="1" pageOrder="downThenOver" orientation="landscape" usePrinterDefaults="1" blackAndWhite="0" draft="0" cellComments="none" useFirstPageNumber="0" errors="displayed" horizontalDpi="600" verticalDpi="600" copies="1"/>
  <headerFooter>
    <oddFooter>&amp;L&amp;"Open Sans,Bold"&amp;10&amp;K002060DCF Valuation Modeling&amp;C&amp;"Open Sans,Bold"&amp;10&amp;K002060Page &amp;P of &amp;N&amp;R&amp;G</oddFooter>
  </headerFooter>
  <drawing r:id="rId2"/>
  <legacyDrawing r:id="rId3"/>
  <legacyDrawingHF r:id="rId4"/>
  <controls>
    <mc:AlternateContent xmlns:mc="http://schemas.openxmlformats.org/markup-compatibility/2006">
      <mc:Choice Requires="x14">
        <control name="Drop Down 1" shapeId="7169" r:id="rId1">
          <controlPr autoLine="0" autoPict="0" defaultSize="0">
            <anchor sizeWithCells="1">
              <from>
                <xdr:col>4</xdr:col>
                <xdr:colOff>314323</xdr:colOff>
                <xdr:row>6</xdr:row>
                <xdr:rowOff>0</xdr:rowOff>
              </from>
              <to>
                <xdr:col>5</xdr:col>
                <xdr:colOff>295274</xdr:colOff>
                <xdr:row>7</xdr:row>
                <xdr:rowOff>0</xdr:rowOff>
              </to>
            </anchor>
          </controlPr>
        </control>
      </mc:Choice>
      <mc:Fallback>
        <control name="Drop Down 1" shapeId="7169" r:id="rId1"/>
      </mc:Fallback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text="OK" id="{4469505C-9769-44D1-A0C6-6114A9D39A85}">
            <xm:f>NOT(ISERROR(SEARCH("OK",B121)))</xm:f>
            <x14:dxf>
              <font>
                <color rgb="FF006100"/>
              </font>
              <fill>
                <patternFill patternType="solid">
                  <fgColor indexed="65"/>
                  <bgColor indexed="65"/>
                </patternFill>
              </fill>
            </x14:dxf>
          </x14:cfRule>
          <xm:sqref>B121:D124 F121:F124</xm:sqref>
        </x14:conditionalFormatting>
        <x14:conditionalFormatting xmlns:xm="http://schemas.microsoft.com/office/excel/2006/main">
          <x14:cfRule type="containsText" priority="8" operator="containsText" text="ERROR" id="{76107F3E-989C-46EC-BDC6-01CB8C22D265}">
            <xm:f>NOT(ISERROR(SEARCH("ERROR",B121)))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B121:D124 F121:F124</xm:sqref>
        </x14:conditionalFormatting>
        <x14:conditionalFormatting xmlns:xm="http://schemas.microsoft.com/office/excel/2006/main">
          <x14:cfRule type="expression" priority="12" id="{C23E7137-8AAD-4929-B862-0BE0928D6E58}">
            <xm:f>F106=1</xm:f>
            <x14:dxf>
              <font>
                <b/>
                <i val="0"/>
                <color theme="0"/>
              </font>
              <fill>
                <patternFill patternType="solid">
                  <fgColor rgb="FF947131"/>
                  <bgColor rgb="FF947131"/>
                </patternFill>
              </fill>
            </x14:dxf>
          </x14:cfRule>
          <xm:sqref>F106:F107</xm:sqref>
        </x14:conditionalFormatting>
        <x14:conditionalFormatting xmlns:xm="http://schemas.microsoft.com/office/excel/2006/main">
          <x14:cfRule type="expression" priority="11" id="{AF2D9902-F8A1-4B63-9101-C14F5B8CACA0}">
            <xm:f>$F$118=1</xm:f>
            <x14:dxf>
              <font>
                <b/>
                <i val="0"/>
                <color theme="0"/>
              </font>
              <fill>
                <patternFill patternType="solid">
                  <fgColor rgb="FFFA621C"/>
                  <bgColor rgb="FFFA621C"/>
                </patternFill>
              </fill>
            </x14:dxf>
          </x14:cfRule>
          <xm:sqref>F118</xm:sqref>
        </x14:conditionalFormatting>
        <x14:conditionalFormatting xmlns:xm="http://schemas.microsoft.com/office/excel/2006/main">
          <x14:cfRule type="containsText" priority="9" operator="containsText" text="OK" id="{BCB98C53-0812-4302-B328-EA84E811FE85}">
            <xm:f>NOT(ISERROR(SEARCH("OK",G41)))</xm:f>
            <x14:dxf>
              <font>
                <color rgb="FF006100"/>
              </font>
              <fill>
                <patternFill patternType="solid">
                  <fgColor indexed="65"/>
                  <bgColor indexed="65"/>
                </patternFill>
              </fill>
            </x14:dxf>
          </x14:cfRule>
          <xm:sqref>G41:L42 I117:J117 L117</xm:sqref>
        </x14:conditionalFormatting>
        <x14:conditionalFormatting xmlns:xm="http://schemas.microsoft.com/office/excel/2006/main">
          <x14:cfRule type="containsText" priority="10" operator="containsText" text="ERROR" id="{BB4544F1-8D40-43F2-A78C-4F676B189E89}">
            <xm:f>NOT(ISERROR(SEARCH("ERROR",G41)))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G41:L42 I117:J117 L117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/>
    <outlinePr applyStyles="0" summaryBelow="1" summaryRight="1" showOutlineSymbols="1"/>
    <pageSetUpPr autoPageBreaks="0" fitToPage="0"/>
  </sheetPr>
  <sheetViews>
    <sheetView showGridLines="0" zoomScale="100" workbookViewId="0">
      <pane ySplit="1" topLeftCell="A2" activePane="bottomLeft" state="frozen"/>
      <selection activeCell="F6" activeCellId="0" sqref="F6"/>
    </sheetView>
  </sheetViews>
  <sheetFormatPr defaultColWidth="9.140625" defaultRowHeight="15" customHeight="1" outlineLevelRow="1"/>
  <cols>
    <col min="1" max="1" style="1" width="9.140625"/>
    <col customWidth="1" min="2" max="2" style="1" width="12.85546875"/>
    <col customWidth="1" min="3" max="5" style="1" width="11.85546875"/>
    <col bestFit="1" customWidth="1" min="6" max="6" style="1" width="12.28515625"/>
    <col customWidth="1" min="7" max="12" style="1" width="11.85546875"/>
    <col customWidth="1" min="13" max="13" style="1" width="1.7109375"/>
    <col customWidth="1" min="14" max="14" style="1" width="4.7109375"/>
    <col bestFit="1" customWidth="1" min="15" max="15" style="1" width="9.5703125"/>
    <col bestFit="1" customWidth="1" min="16" max="16" style="1" width="9.28515625"/>
    <col bestFit="1" customWidth="1" min="17" max="17" style="1" width="11"/>
    <col customWidth="1" min="18" max="18" style="1" width="4.7109375"/>
    <col bestFit="1" customWidth="1" min="19" max="19" style="1" width="9.5703125"/>
    <col bestFit="1" customWidth="1" min="20" max="20" style="1" width="9.28515625"/>
    <col bestFit="1" customWidth="1" min="21" max="21" style="1" width="11"/>
    <col customWidth="1" min="22" max="22" style="1" width="4.7109375"/>
    <col bestFit="1" customWidth="1" min="23" max="23" style="1" width="9.5703125"/>
    <col bestFit="1" customWidth="1" min="24" max="24" style="1" width="9.28515625"/>
    <col bestFit="1" customWidth="1" min="25" max="25" style="1" width="11"/>
    <col min="26" max="16384" style="1" width="9.140625"/>
  </cols>
  <sheetData>
    <row r="1" ht="50.100000000000001" customHeight="1">
      <c r="A1" s="4"/>
      <c r="B1" s="2"/>
      <c r="C1" s="2"/>
      <c r="D1" s="2"/>
      <c r="E1" s="2"/>
      <c r="F1" s="2"/>
      <c r="G1" s="3"/>
      <c r="H1" s="3"/>
      <c r="I1" s="2"/>
      <c r="J1" s="2"/>
      <c r="K1" s="2"/>
      <c r="L1" s="2"/>
      <c r="M1" s="4"/>
    </row>
    <row r="2" ht="15" customHeight="1">
      <c r="A2" s="172"/>
      <c r="B2" s="172"/>
      <c r="C2" s="173"/>
      <c r="D2" s="173"/>
      <c r="E2" s="173"/>
      <c r="F2" s="173"/>
      <c r="G2" s="174"/>
      <c r="H2" s="175"/>
      <c r="I2" s="175"/>
      <c r="J2" s="175"/>
      <c r="K2" s="175"/>
      <c r="L2" s="175"/>
      <c r="M2" s="172"/>
    </row>
    <row r="3" ht="15" customHeight="1">
      <c r="A3" s="172" t="s">
        <v>0</v>
      </c>
      <c r="B3" s="6" t="s">
        <v>30</v>
      </c>
      <c r="C3" s="7"/>
      <c r="D3" s="7"/>
      <c r="E3" s="7"/>
      <c r="F3" s="8"/>
      <c r="G3" s="9"/>
      <c r="H3" s="9"/>
      <c r="I3" s="9"/>
      <c r="J3" s="9"/>
      <c r="K3" s="9"/>
      <c r="L3" s="9"/>
      <c r="M3" s="10"/>
    </row>
    <row r="4" ht="15" customHeight="1" outlineLevel="1">
      <c r="A4" s="172"/>
      <c r="B4" s="176"/>
      <c r="C4" s="12"/>
      <c r="D4" s="13"/>
      <c r="E4" s="13"/>
      <c r="F4" s="10"/>
      <c r="G4" s="10"/>
      <c r="H4" s="10"/>
      <c r="I4" s="10"/>
      <c r="J4" s="10"/>
      <c r="K4" s="10"/>
      <c r="L4" s="10"/>
      <c r="M4" s="10"/>
    </row>
    <row r="5" ht="15" customHeight="1" outlineLevel="1">
      <c r="A5" s="172"/>
      <c r="B5" s="11" t="s">
        <v>3</v>
      </c>
      <c r="C5" s="12"/>
      <c r="D5" s="14"/>
      <c r="E5" s="14"/>
      <c r="F5" s="15"/>
      <c r="G5" s="177">
        <f>$F$97</f>
        <v>2023</v>
      </c>
      <c r="H5" s="177">
        <f>G5+1</f>
        <v>2024</v>
      </c>
      <c r="I5" s="177">
        <f>H5+1</f>
        <v>2025</v>
      </c>
      <c r="J5" s="177">
        <f>I5+1</f>
        <v>2026</v>
      </c>
      <c r="K5" s="177">
        <f>J5+1</f>
        <v>2027</v>
      </c>
      <c r="L5" s="177" t="s">
        <v>31</v>
      </c>
    </row>
    <row r="6" s="54" customFormat="1" ht="15" customHeight="1" outlineLevel="1">
      <c r="B6" s="61"/>
      <c r="D6" s="17"/>
      <c r="E6" s="17"/>
      <c r="F6" s="17"/>
      <c r="G6" s="17"/>
      <c r="H6" s="17"/>
      <c r="I6" s="178"/>
      <c r="J6" s="179"/>
    </row>
    <row r="7" s="54" customFormat="1" ht="15" customHeight="1" outlineLevel="1">
      <c r="B7" s="180" t="s">
        <v>32</v>
      </c>
      <c r="D7" s="342">
        <f>'Outputs-R'!F6</f>
        <v>2</v>
      </c>
      <c r="E7" s="17"/>
      <c r="F7" s="17"/>
      <c r="G7" s="17"/>
      <c r="H7" s="17"/>
      <c r="I7" s="178"/>
      <c r="J7" s="179"/>
    </row>
    <row r="8" s="54" customFormat="1" ht="15" customHeight="1" outlineLevel="1">
      <c r="C8" s="17"/>
      <c r="D8" s="17"/>
      <c r="E8" s="17"/>
      <c r="F8" s="17"/>
      <c r="G8" s="17"/>
      <c r="H8" s="178"/>
      <c r="I8" s="179"/>
    </row>
    <row r="9" s="54" customFormat="1" ht="15" customHeight="1" outlineLevel="1">
      <c r="C9" s="17"/>
      <c r="D9" s="17"/>
      <c r="E9" s="17"/>
      <c r="F9" s="17"/>
      <c r="G9" s="17"/>
      <c r="H9" s="178"/>
      <c r="I9" s="179"/>
      <c r="O9" s="25" t="s">
        <v>6</v>
      </c>
      <c r="P9" s="26" t="s">
        <v>7</v>
      </c>
      <c r="Q9" s="27" t="s">
        <v>8</v>
      </c>
    </row>
    <row r="10" s="54" customFormat="1" ht="15" customHeight="1" outlineLevel="1">
      <c r="B10" s="180" t="s">
        <v>146</v>
      </c>
      <c r="D10" s="66"/>
      <c r="E10" s="66"/>
      <c r="F10" s="66"/>
      <c r="G10" s="181" cm="1">
        <f t="array" ref="G10">INDEX(G12:G14,$D$7)</f>
        <v>0.02</v>
      </c>
      <c r="H10" s="182" cm="1">
        <f t="array" ref="H10">INDEX(H12:H14,$D$7)</f>
        <v>0.01</v>
      </c>
      <c r="I10" s="182" cm="1">
        <f t="array" ref="I10">INDEX(I12:I14,$D$7)</f>
        <v>0.01</v>
      </c>
      <c r="J10" s="182" cm="1">
        <f t="array" ref="J10">INDEX(J12:J14,$D$7)</f>
        <v>0.0050000000000000001</v>
      </c>
      <c r="K10" s="182" cm="1">
        <f t="array" ref="K10">INDEX(K12:K14,$D$7)</f>
        <v>0.0050000000000000001</v>
      </c>
      <c r="L10" s="183" cm="1">
        <f t="array" ref="L10">INDEX(L12:L14,$D$7)</f>
        <v>0.0050000000000000001</v>
      </c>
      <c r="O10" s="343">
        <f>SUM(Inputs!G10:L10)</f>
        <v>0.11</v>
      </c>
      <c r="P10" s="344">
        <f>SUM(G10:L10)</f>
        <v>0.054999999999999993</v>
      </c>
      <c r="Q10" s="33">
        <f>IF(O10=0,0,IF(O10=P10,1,0))</f>
        <v>0</v>
      </c>
    </row>
    <row r="11" s="54" customFormat="1" ht="15" customHeight="1" outlineLevel="1">
      <c r="C11" s="17"/>
      <c r="D11" s="17"/>
      <c r="E11" s="17"/>
      <c r="F11" s="17"/>
      <c r="G11" s="184"/>
      <c r="H11" s="185"/>
      <c r="I11" s="186"/>
      <c r="J11" s="187"/>
      <c r="K11" s="187"/>
      <c r="L11" s="187"/>
    </row>
    <row r="12" s="54" customFormat="1" ht="15" customHeight="1" outlineLevel="1">
      <c r="B12" s="188" t="str">
        <f>Outputs!D14</f>
        <v xml:space="preserve">Best Case</v>
      </c>
      <c r="C12" s="66"/>
      <c r="D12" s="17"/>
      <c r="E12" s="17"/>
      <c r="F12" s="17"/>
      <c r="G12" s="189">
        <v>0.029999999999999999</v>
      </c>
      <c r="H12" s="190">
        <v>0.02</v>
      </c>
      <c r="I12" s="190">
        <v>0.02</v>
      </c>
      <c r="J12" s="190">
        <v>0.014999999999999999</v>
      </c>
      <c r="K12" s="190">
        <v>0.014999999999999999</v>
      </c>
      <c r="L12" s="191">
        <v>0.01</v>
      </c>
    </row>
    <row r="13" s="54" customFormat="1" ht="15" customHeight="1" outlineLevel="1">
      <c r="B13" s="188" t="str">
        <f>Outputs!D15</f>
        <v xml:space="preserve">Base Case</v>
      </c>
      <c r="C13" s="17"/>
      <c r="D13" s="17"/>
      <c r="E13" s="17"/>
      <c r="F13" s="17"/>
      <c r="G13" s="192">
        <v>0.02</v>
      </c>
      <c r="H13" s="193">
        <v>0.01</v>
      </c>
      <c r="I13" s="193">
        <v>0.01</v>
      </c>
      <c r="J13" s="193">
        <v>0.0050000000000000001</v>
      </c>
      <c r="K13" s="193">
        <v>0.0050000000000000001</v>
      </c>
      <c r="L13" s="194">
        <v>0.0050000000000000001</v>
      </c>
    </row>
    <row r="14" s="54" customFormat="1" ht="15" customHeight="1" outlineLevel="1">
      <c r="B14" s="188" t="str">
        <f>Outputs!D16</f>
        <v xml:space="preserve">Worst Case</v>
      </c>
      <c r="C14" s="17"/>
      <c r="D14" s="17"/>
      <c r="E14" s="17"/>
      <c r="F14" s="17"/>
      <c r="G14" s="195">
        <v>0.01</v>
      </c>
      <c r="H14" s="196">
        <v>0.01</v>
      </c>
      <c r="I14" s="196">
        <v>0.0050000000000000001</v>
      </c>
      <c r="J14" s="196">
        <v>0.0050000000000000001</v>
      </c>
      <c r="K14" s="196">
        <v>0.0050000000000000001</v>
      </c>
      <c r="L14" s="197">
        <v>0.0050000000000000001</v>
      </c>
    </row>
    <row r="15" s="54" customFormat="1" ht="15" customHeight="1" outlineLevel="1">
      <c r="B15" s="61"/>
      <c r="C15" s="198"/>
      <c r="D15" s="198"/>
      <c r="E15" s="198"/>
      <c r="F15" s="198"/>
      <c r="G15" s="184"/>
      <c r="H15" s="199"/>
      <c r="I15" s="186"/>
      <c r="J15" s="187"/>
      <c r="K15" s="187"/>
      <c r="L15" s="187"/>
    </row>
    <row r="16" s="54" customFormat="1" ht="15" customHeight="1" outlineLevel="1">
      <c r="B16" s="61"/>
      <c r="C16" s="198"/>
      <c r="D16" s="198"/>
      <c r="E16" s="198"/>
      <c r="F16" s="198"/>
      <c r="G16" s="184"/>
      <c r="H16" s="199"/>
      <c r="I16" s="186"/>
      <c r="J16" s="187"/>
      <c r="K16" s="187"/>
      <c r="L16" s="187"/>
      <c r="O16" s="25" t="s">
        <v>6</v>
      </c>
      <c r="P16" s="26" t="s">
        <v>7</v>
      </c>
      <c r="Q16" s="27" t="s">
        <v>8</v>
      </c>
    </row>
    <row r="17" s="54" customFormat="1" ht="15" customHeight="1" outlineLevel="1">
      <c r="B17" s="180" t="s">
        <v>147</v>
      </c>
      <c r="C17" s="198"/>
      <c r="D17" s="198"/>
      <c r="E17" s="198"/>
      <c r="F17" s="198"/>
      <c r="G17" s="181" cm="1">
        <f t="array" ref="G17">INDEX(G19:G21,$D$7)</f>
        <v>0.029999999999999999</v>
      </c>
      <c r="H17" s="182" cm="1">
        <f t="array" ref="H17">INDEX(H19:H21,$D$7)</f>
        <v>0.01</v>
      </c>
      <c r="I17" s="182" cm="1">
        <f t="array" ref="I17">INDEX(I19:I21,$D$7)</f>
        <v>0.01</v>
      </c>
      <c r="J17" s="182" cm="1">
        <f t="array" ref="J17">INDEX(J19:J21,$D$7)</f>
        <v>0.01</v>
      </c>
      <c r="K17" s="182" cm="1">
        <f t="array" ref="K17">INDEX(K19:K21,$D$7)</f>
        <v>0.0050000000000000001</v>
      </c>
      <c r="L17" s="183" cm="1">
        <f t="array" ref="L17">INDEX(L19:L21,$D$7)</f>
        <v>0.0050000000000000001</v>
      </c>
      <c r="O17" s="343">
        <f>SUM(Inputs!G17:L17)</f>
        <v>0.15999999999999998</v>
      </c>
      <c r="P17" s="344">
        <f>SUM(G17:L17)</f>
        <v>0.070000000000000007</v>
      </c>
      <c r="Q17" s="33">
        <f>IF(O17=0,0,IF(O17=P17,1,0))</f>
        <v>0</v>
      </c>
    </row>
    <row r="18" s="54" customFormat="1" ht="15" customHeight="1" outlineLevel="1">
      <c r="B18" s="61"/>
      <c r="C18" s="198"/>
      <c r="D18" s="198"/>
      <c r="E18" s="198"/>
      <c r="F18" s="198"/>
      <c r="G18" s="200"/>
      <c r="H18" s="201"/>
      <c r="I18" s="202"/>
      <c r="J18" s="203"/>
      <c r="K18" s="203"/>
      <c r="L18" s="203"/>
    </row>
    <row r="19" s="54" customFormat="1" ht="15" customHeight="1" outlineLevel="1">
      <c r="B19" s="188" t="str">
        <f>$B$12</f>
        <v xml:space="preserve">Best Case</v>
      </c>
      <c r="C19" s="17"/>
      <c r="D19" s="17"/>
      <c r="E19" s="17"/>
      <c r="F19" s="17"/>
      <c r="G19" s="189">
        <v>0.035000000000000003</v>
      </c>
      <c r="H19" s="190">
        <v>0.02</v>
      </c>
      <c r="I19" s="190">
        <v>0.02</v>
      </c>
      <c r="J19" s="190">
        <v>0.02</v>
      </c>
      <c r="K19" s="190">
        <v>0.014999999999999999</v>
      </c>
      <c r="L19" s="191">
        <v>0.0080000000000000002</v>
      </c>
    </row>
    <row r="20" s="54" customFormat="1" ht="15" customHeight="1" outlineLevel="1">
      <c r="B20" s="188" t="str">
        <f>$B$13</f>
        <v xml:space="preserve">Base Case</v>
      </c>
      <c r="C20" s="17"/>
      <c r="D20" s="17"/>
      <c r="E20" s="17"/>
      <c r="F20" s="17"/>
      <c r="G20" s="192">
        <v>0.029999999999999999</v>
      </c>
      <c r="H20" s="193">
        <v>0.01</v>
      </c>
      <c r="I20" s="193">
        <v>0.01</v>
      </c>
      <c r="J20" s="193">
        <v>0.01</v>
      </c>
      <c r="K20" s="193">
        <v>0.0050000000000000001</v>
      </c>
      <c r="L20" s="194">
        <v>0.0050000000000000001</v>
      </c>
    </row>
    <row r="21" s="54" customFormat="1" ht="15" customHeight="1" outlineLevel="1">
      <c r="B21" s="188" t="str">
        <f>$B$14</f>
        <v xml:space="preserve">Worst Case</v>
      </c>
      <c r="C21" s="17"/>
      <c r="D21" s="17"/>
      <c r="E21" s="17"/>
      <c r="F21" s="17"/>
      <c r="G21" s="195">
        <v>0.01</v>
      </c>
      <c r="H21" s="196">
        <v>0.01</v>
      </c>
      <c r="I21" s="196">
        <v>0.0050000000000000001</v>
      </c>
      <c r="J21" s="196">
        <v>0.0050000000000000001</v>
      </c>
      <c r="K21" s="196">
        <v>0.0050000000000000001</v>
      </c>
      <c r="L21" s="197">
        <v>0.0050000000000000001</v>
      </c>
    </row>
    <row r="22" s="54" customFormat="1" ht="15" customHeight="1" outlineLevel="1">
      <c r="B22" s="204"/>
      <c r="C22" s="204"/>
      <c r="D22" s="204"/>
      <c r="E22" s="204"/>
      <c r="F22" s="204"/>
      <c r="G22" s="204"/>
      <c r="H22" s="204"/>
      <c r="I22" s="204"/>
      <c r="J22" s="204"/>
      <c r="K22" s="204"/>
      <c r="L22" s="204"/>
    </row>
    <row r="23" s="54" customFormat="1" ht="15" customHeight="1" outlineLevel="1">
      <c r="C23" s="198"/>
      <c r="D23" s="198"/>
      <c r="E23" s="198"/>
      <c r="F23" s="198"/>
      <c r="G23" s="204"/>
      <c r="H23" s="204"/>
      <c r="I23" s="204"/>
      <c r="J23" s="204"/>
      <c r="K23" s="204"/>
      <c r="L23" s="204"/>
      <c r="O23" s="25" t="s">
        <v>6</v>
      </c>
      <c r="P23" s="26" t="s">
        <v>7</v>
      </c>
      <c r="Q23" s="27" t="s">
        <v>8</v>
      </c>
    </row>
    <row r="24" s="54" customFormat="1" ht="15" customHeight="1" outlineLevel="1">
      <c r="B24" s="180" t="s">
        <v>35</v>
      </c>
      <c r="C24" s="198"/>
      <c r="D24" s="198"/>
      <c r="E24" s="198"/>
      <c r="F24" s="198"/>
      <c r="G24" s="205" cm="1">
        <f t="array" ref="G24">INDEX(G26:G28,$D$7)</f>
        <v>4550</v>
      </c>
      <c r="H24" s="206" cm="1">
        <f t="array" ref="H24">INDEX(H26:H28,$D$7)</f>
        <v>4700</v>
      </c>
      <c r="I24" s="206" cm="1">
        <f t="array" ref="I24">INDEX(I26:I28,$D$7)</f>
        <v>4850</v>
      </c>
      <c r="J24" s="206" cm="1">
        <f t="array" ref="J24">INDEX(J26:J28,$D$7)</f>
        <v>5000</v>
      </c>
      <c r="K24" s="206" cm="1">
        <f t="array" ref="K24">INDEX(K26:K28,$D$7)</f>
        <v>5125</v>
      </c>
      <c r="L24" s="207" cm="1">
        <f t="array" ref="L24">INDEX(L26:L28,$D$7)</f>
        <v>5300</v>
      </c>
      <c r="O24" s="31">
        <f>SUM(Inputs!G24:L24)</f>
        <v>43000</v>
      </c>
      <c r="P24" s="32">
        <f>SUM(G24:L24)</f>
        <v>29525</v>
      </c>
      <c r="Q24" s="33">
        <f>IF(O24=0,0,IF(O24=P24,1,0))</f>
        <v>0</v>
      </c>
    </row>
    <row r="25" s="54" customFormat="1" ht="15" customHeight="1" outlineLevel="1">
      <c r="B25" s="61"/>
      <c r="C25" s="198"/>
      <c r="D25" s="198"/>
      <c r="E25" s="198"/>
      <c r="F25" s="198"/>
      <c r="G25" s="208"/>
      <c r="H25" s="209"/>
      <c r="I25" s="210"/>
      <c r="J25" s="211"/>
      <c r="K25" s="211"/>
      <c r="L25" s="211"/>
    </row>
    <row r="26" s="54" customFormat="1" ht="15" customHeight="1" outlineLevel="1">
      <c r="B26" s="188" t="str">
        <f>$B$12</f>
        <v xml:space="preserve">Best Case</v>
      </c>
      <c r="C26" s="17"/>
      <c r="D26" s="17"/>
      <c r="E26" s="17"/>
      <c r="F26" s="17"/>
      <c r="G26" s="212">
        <v>4000</v>
      </c>
      <c r="H26" s="213">
        <v>4300</v>
      </c>
      <c r="I26" s="213">
        <v>4400</v>
      </c>
      <c r="J26" s="213">
        <v>4600</v>
      </c>
      <c r="K26" s="213">
        <v>4800</v>
      </c>
      <c r="L26" s="214">
        <v>4900</v>
      </c>
    </row>
    <row r="27" s="54" customFormat="1" ht="15" customHeight="1" outlineLevel="1">
      <c r="B27" s="188" t="str">
        <f>$B$13</f>
        <v xml:space="preserve">Base Case</v>
      </c>
      <c r="C27" s="17"/>
      <c r="D27" s="17"/>
      <c r="E27" s="17"/>
      <c r="F27" s="17"/>
      <c r="G27" s="215">
        <v>4550</v>
      </c>
      <c r="H27" s="216">
        <v>4700</v>
      </c>
      <c r="I27" s="216">
        <v>4850</v>
      </c>
      <c r="J27" s="216">
        <v>5000</v>
      </c>
      <c r="K27" s="216">
        <v>5125</v>
      </c>
      <c r="L27" s="217">
        <v>5300</v>
      </c>
    </row>
    <row r="28" s="54" customFormat="1" ht="15" customHeight="1" outlineLevel="1">
      <c r="B28" s="188" t="str">
        <f>$B$14</f>
        <v xml:space="preserve">Worst Case</v>
      </c>
      <c r="C28" s="17"/>
      <c r="D28" s="17"/>
      <c r="E28" s="17"/>
      <c r="F28" s="17"/>
      <c r="G28" s="218">
        <v>5000</v>
      </c>
      <c r="H28" s="219">
        <v>5200</v>
      </c>
      <c r="I28" s="219">
        <v>5400</v>
      </c>
      <c r="J28" s="219">
        <v>5500</v>
      </c>
      <c r="K28" s="219">
        <v>5600</v>
      </c>
      <c r="L28" s="220">
        <v>5800</v>
      </c>
    </row>
    <row r="29" s="54" customFormat="1" ht="15" customHeight="1" outlineLevel="1">
      <c r="B29" s="204"/>
      <c r="C29" s="204"/>
      <c r="D29" s="204"/>
      <c r="E29" s="204"/>
      <c r="F29" s="204"/>
      <c r="G29" s="204"/>
      <c r="H29" s="204"/>
      <c r="I29" s="204"/>
      <c r="J29" s="204"/>
      <c r="K29" s="204"/>
      <c r="L29" s="204"/>
    </row>
    <row r="30" s="54" customFormat="1" ht="15" customHeight="1" outlineLevel="1"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</row>
    <row r="31" s="54" customFormat="1" ht="15" customHeight="1" outlineLevel="1">
      <c r="B31" s="180" t="s">
        <v>36</v>
      </c>
      <c r="C31" s="198"/>
      <c r="D31" s="198"/>
      <c r="E31" s="198"/>
      <c r="F31" s="198"/>
      <c r="G31" s="221">
        <v>0.035000000000000003</v>
      </c>
      <c r="H31" s="222">
        <v>0.029999999999999999</v>
      </c>
      <c r="I31" s="222">
        <v>0.029999999999999999</v>
      </c>
      <c r="J31" s="222">
        <v>0.025000000000000001</v>
      </c>
      <c r="K31" s="222">
        <v>0.025000000000000001</v>
      </c>
      <c r="L31" s="223">
        <v>0.014999999999999999</v>
      </c>
    </row>
    <row r="32" s="54" customFormat="1" ht="15" customHeight="1" outlineLevel="1">
      <c r="B32" s="61"/>
      <c r="C32" s="198"/>
      <c r="D32" s="198"/>
      <c r="E32" s="198"/>
      <c r="F32" s="198"/>
      <c r="G32" s="224"/>
      <c r="H32" s="224"/>
      <c r="I32" s="224"/>
      <c r="J32" s="224"/>
      <c r="K32" s="224"/>
      <c r="L32" s="224"/>
    </row>
    <row r="33" s="54" customFormat="1" ht="15" customHeight="1" outlineLevel="1">
      <c r="B33" s="61"/>
      <c r="C33" s="198"/>
      <c r="D33" s="198"/>
      <c r="E33" s="198"/>
      <c r="F33" s="198"/>
      <c r="G33" s="224"/>
      <c r="H33" s="224"/>
      <c r="I33" s="224"/>
      <c r="J33" s="224"/>
      <c r="K33" s="224"/>
      <c r="L33" s="224"/>
    </row>
    <row r="34" s="54" customFormat="1" ht="15" customHeight="1" outlineLevel="1">
      <c r="B34" s="180" t="s">
        <v>37</v>
      </c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O34" s="39" t="s">
        <v>6</v>
      </c>
      <c r="P34" s="40" t="s">
        <v>7</v>
      </c>
      <c r="Q34" s="41" t="s">
        <v>8</v>
      </c>
    </row>
    <row r="35" s="54" customFormat="1" ht="15" customHeight="1" outlineLevel="1">
      <c r="B35" s="225" t="s">
        <v>38</v>
      </c>
      <c r="C35" s="204"/>
      <c r="D35" s="204"/>
      <c r="E35" s="226" t="s">
        <v>39</v>
      </c>
      <c r="F35" s="204"/>
      <c r="G35" s="212">
        <v>45</v>
      </c>
      <c r="H35" s="213">
        <v>45</v>
      </c>
      <c r="I35" s="213">
        <v>45</v>
      </c>
      <c r="J35" s="213">
        <v>45</v>
      </c>
      <c r="K35" s="213">
        <v>45</v>
      </c>
      <c r="L35" s="227">
        <f t="shared" ref="L35:L37" si="37">K35</f>
        <v>45</v>
      </c>
      <c r="O35" s="345">
        <f>Inputs!L35</f>
        <v>45</v>
      </c>
      <c r="P35" s="346">
        <f t="shared" ref="P35:P37" si="38">L35</f>
        <v>45</v>
      </c>
      <c r="Q35" s="53">
        <f t="shared" ref="Q35:Q37" si="39">IF(O35=0,0,IF(O35=P35,1,0))</f>
        <v>1</v>
      </c>
    </row>
    <row r="36" s="54" customFormat="1" ht="15" customHeight="1" outlineLevel="1">
      <c r="B36" s="225" t="s">
        <v>40</v>
      </c>
      <c r="C36" s="204"/>
      <c r="D36" s="204"/>
      <c r="E36" s="226" t="s">
        <v>39</v>
      </c>
      <c r="F36" s="204"/>
      <c r="G36" s="215">
        <v>25</v>
      </c>
      <c r="H36" s="216">
        <v>25</v>
      </c>
      <c r="I36" s="216">
        <v>25</v>
      </c>
      <c r="J36" s="216">
        <v>25</v>
      </c>
      <c r="K36" s="216">
        <v>25</v>
      </c>
      <c r="L36" s="228">
        <f t="shared" si="37"/>
        <v>25</v>
      </c>
      <c r="O36" s="345">
        <f>Inputs!L36</f>
        <v>25</v>
      </c>
      <c r="P36" s="346">
        <f t="shared" si="38"/>
        <v>25</v>
      </c>
      <c r="Q36" s="53">
        <f t="shared" si="39"/>
        <v>1</v>
      </c>
    </row>
    <row r="37" s="54" customFormat="1" ht="15" customHeight="1" outlineLevel="1">
      <c r="B37" s="225" t="s">
        <v>41</v>
      </c>
      <c r="C37" s="204"/>
      <c r="D37" s="204"/>
      <c r="E37" s="226" t="s">
        <v>39</v>
      </c>
      <c r="F37" s="204"/>
      <c r="G37" s="218">
        <v>40</v>
      </c>
      <c r="H37" s="219">
        <v>40</v>
      </c>
      <c r="I37" s="219">
        <v>40</v>
      </c>
      <c r="J37" s="219">
        <v>40</v>
      </c>
      <c r="K37" s="219">
        <v>40</v>
      </c>
      <c r="L37" s="229">
        <f t="shared" si="37"/>
        <v>40</v>
      </c>
      <c r="O37" s="347">
        <f>Inputs!L37</f>
        <v>40</v>
      </c>
      <c r="P37" s="348">
        <f t="shared" si="38"/>
        <v>40</v>
      </c>
      <c r="Q37" s="72">
        <f t="shared" si="39"/>
        <v>1</v>
      </c>
    </row>
    <row r="38" s="54" customFormat="1" ht="15" customHeight="1" outlineLevel="1">
      <c r="C38" s="204"/>
      <c r="D38" s="204"/>
      <c r="E38" s="204"/>
      <c r="F38" s="204"/>
      <c r="G38" s="204"/>
      <c r="H38" s="204"/>
      <c r="I38" s="204"/>
      <c r="J38" s="204"/>
      <c r="K38" s="204"/>
      <c r="L38" s="204"/>
      <c r="Q38" s="349"/>
    </row>
    <row r="39" s="54" customFormat="1" ht="15" customHeight="1" outlineLevel="1">
      <c r="B39" s="350"/>
      <c r="C39" s="204"/>
      <c r="D39" s="204"/>
      <c r="E39" s="204"/>
      <c r="F39" s="204"/>
      <c r="G39" s="204"/>
      <c r="H39" s="204"/>
      <c r="I39" s="204"/>
      <c r="J39" s="204"/>
      <c r="K39" s="204"/>
      <c r="L39" s="204"/>
      <c r="Q39" s="351" t="str">
        <f>IF(SUM(Q9:Q37)=6,"COMPLETE","")</f>
        <v/>
      </c>
    </row>
    <row r="40" s="23" customFormat="1" ht="15" customHeight="1" outlineLevel="1">
      <c r="C40" s="12"/>
      <c r="D40" s="14"/>
      <c r="E40" s="14"/>
      <c r="F40" s="14"/>
      <c r="G40" s="14"/>
      <c r="H40" s="14"/>
      <c r="I40" s="16"/>
      <c r="J40" s="16"/>
      <c r="K40" s="16"/>
      <c r="L40" s="132" t="s">
        <v>47</v>
      </c>
    </row>
    <row r="41" s="54" customFormat="1" ht="15" customHeight="1" outlineLevel="1">
      <c r="B41" s="17"/>
      <c r="C41" s="17"/>
      <c r="D41" s="17"/>
      <c r="E41" s="17"/>
      <c r="F41" s="17"/>
      <c r="G41" s="17"/>
      <c r="H41" s="230"/>
      <c r="I41" s="230"/>
      <c r="J41" s="230"/>
      <c r="K41" s="230"/>
      <c r="L41" s="230"/>
      <c r="M41" s="230"/>
    </row>
    <row r="42" s="54" customFormat="1" ht="15" customHeight="1" outlineLevel="1">
      <c r="B42" s="231"/>
      <c r="C42" s="231"/>
      <c r="D42" s="231"/>
      <c r="E42" s="231"/>
      <c r="F42" s="231"/>
      <c r="G42" s="231"/>
      <c r="H42" s="232"/>
      <c r="I42" s="232"/>
      <c r="J42" s="232"/>
      <c r="K42" s="232"/>
      <c r="L42" s="232"/>
      <c r="M42" s="230"/>
    </row>
    <row r="43" s="54" customFormat="1" ht="15" customHeight="1">
      <c r="B43" s="17"/>
      <c r="C43" s="17"/>
      <c r="D43" s="17"/>
      <c r="E43" s="17"/>
      <c r="F43" s="17"/>
      <c r="G43" s="17"/>
      <c r="H43" s="230"/>
      <c r="I43" s="230"/>
      <c r="J43" s="230"/>
      <c r="K43" s="230"/>
      <c r="L43" s="230"/>
      <c r="M43" s="230"/>
    </row>
    <row r="44" ht="15" customHeight="1">
      <c r="A44" s="23" t="s">
        <v>0</v>
      </c>
      <c r="B44" s="6" t="s">
        <v>48</v>
      </c>
      <c r="C44" s="7"/>
      <c r="D44" s="7"/>
      <c r="E44" s="7"/>
      <c r="F44" s="8"/>
      <c r="G44" s="9"/>
      <c r="H44" s="9"/>
      <c r="I44" s="9"/>
      <c r="J44" s="9"/>
      <c r="K44" s="9"/>
      <c r="L44" s="9"/>
      <c r="M44" s="10"/>
    </row>
    <row r="45" ht="15" customHeight="1" outlineLevel="1">
      <c r="A45" s="23"/>
      <c r="B45" s="176"/>
      <c r="C45" s="12"/>
      <c r="D45" s="12"/>
      <c r="E45" s="12"/>
      <c r="F45" s="13"/>
      <c r="G45" s="10"/>
      <c r="H45" s="10"/>
      <c r="I45" s="10"/>
      <c r="J45" s="10"/>
      <c r="K45" s="10"/>
      <c r="L45" s="10"/>
      <c r="M45" s="10"/>
    </row>
    <row r="46" ht="15" customHeight="1" outlineLevel="1">
      <c r="A46" s="23"/>
      <c r="B46" s="11" t="s">
        <v>3</v>
      </c>
      <c r="C46" s="12"/>
      <c r="D46" s="12"/>
      <c r="E46" s="12"/>
      <c r="F46" s="14"/>
      <c r="G46" s="14"/>
      <c r="H46" s="14"/>
      <c r="I46" s="16"/>
      <c r="J46" s="16"/>
      <c r="K46" s="16"/>
      <c r="L46" s="16"/>
      <c r="M46" s="16"/>
    </row>
    <row r="47" ht="15" customHeight="1" outlineLevel="1">
      <c r="A47" s="23"/>
      <c r="C47" s="12"/>
      <c r="D47" s="12"/>
      <c r="E47" s="12"/>
      <c r="F47" s="14"/>
      <c r="G47" s="233"/>
      <c r="H47" s="233"/>
      <c r="I47" s="233"/>
      <c r="J47" s="233"/>
      <c r="K47" s="233"/>
      <c r="L47" s="233"/>
      <c r="M47" s="233"/>
    </row>
    <row r="48" ht="15" customHeight="1" outlineLevel="1">
      <c r="A48" s="23"/>
      <c r="B48" s="234"/>
      <c r="C48" s="235"/>
      <c r="D48" s="235"/>
      <c r="E48" s="235"/>
      <c r="F48" s="236"/>
      <c r="G48" s="237"/>
      <c r="H48" s="238" t="s">
        <v>49</v>
      </c>
      <c r="I48" s="238" t="s">
        <v>50</v>
      </c>
      <c r="J48" s="238" t="s">
        <v>50</v>
      </c>
      <c r="K48" s="238" t="s">
        <v>51</v>
      </c>
      <c r="L48" s="239" t="s">
        <v>52</v>
      </c>
    </row>
    <row r="49" ht="21.75" customHeight="1" outlineLevel="1">
      <c r="A49" s="23"/>
      <c r="B49" s="61" t="s">
        <v>53</v>
      </c>
      <c r="C49" s="61"/>
      <c r="D49" s="241" t="s">
        <v>55</v>
      </c>
      <c r="E49" s="61"/>
      <c r="F49" s="242" t="s">
        <v>57</v>
      </c>
      <c r="G49" s="242" t="s">
        <v>10</v>
      </c>
      <c r="H49" s="352" t="s">
        <v>58</v>
      </c>
      <c r="I49" s="353" t="s">
        <v>10</v>
      </c>
      <c r="J49" s="353" t="s">
        <v>59</v>
      </c>
      <c r="K49" s="352" t="s">
        <v>60</v>
      </c>
      <c r="L49" s="352" t="s">
        <v>61</v>
      </c>
    </row>
    <row r="50" ht="15" customHeight="1" outlineLevel="1">
      <c r="A50" s="23"/>
      <c r="B50" s="245"/>
      <c r="C50" s="245"/>
      <c r="D50" s="245"/>
      <c r="E50" s="245"/>
      <c r="F50" s="246"/>
      <c r="G50" s="246"/>
      <c r="H50" s="354"/>
      <c r="I50" s="355"/>
      <c r="J50" s="355"/>
      <c r="K50" s="356"/>
      <c r="L50" s="246"/>
      <c r="O50" s="25" t="s">
        <v>6</v>
      </c>
      <c r="P50" s="26" t="s">
        <v>7</v>
      </c>
      <c r="Q50" s="27" t="s">
        <v>8</v>
      </c>
      <c r="S50" s="25" t="s">
        <v>6</v>
      </c>
      <c r="T50" s="26" t="s">
        <v>7</v>
      </c>
      <c r="U50" s="27" t="s">
        <v>8</v>
      </c>
      <c r="W50" s="25" t="s">
        <v>6</v>
      </c>
      <c r="X50" s="26" t="s">
        <v>7</v>
      </c>
      <c r="Y50" s="27" t="s">
        <v>8</v>
      </c>
    </row>
    <row r="51" ht="15" customHeight="1" outlineLevel="1">
      <c r="A51" s="23"/>
      <c r="B51" s="248" t="s">
        <v>148</v>
      </c>
      <c r="C51" s="249"/>
      <c r="D51" s="251" t="s">
        <v>149</v>
      </c>
      <c r="E51" s="251"/>
      <c r="F51" s="216">
        <v>63702</v>
      </c>
      <c r="G51" s="216">
        <v>375499.31244000001</v>
      </c>
      <c r="H51" s="252">
        <v>0.315</v>
      </c>
      <c r="I51" s="253">
        <f t="shared" ref="I51:I55" si="40">F51/G51</f>
        <v>0.16964611622339193</v>
      </c>
      <c r="J51" s="253">
        <f t="shared" ref="J51:J55" si="41">F51/(F51+G51)</f>
        <v>0.14504055018893514</v>
      </c>
      <c r="K51" s="254">
        <v>0.84999999999999998</v>
      </c>
      <c r="L51" s="255">
        <f>K51/(1+(1-H51)*Inputs!I54)</f>
        <v>0.84485581772664475</v>
      </c>
      <c r="O51" s="357">
        <f>SUM(Inputs!I54:I63)</f>
        <v>0.088888008888800871</v>
      </c>
      <c r="P51" s="358">
        <f>SUM(I51:I55)</f>
        <v>0.80833165414876373</v>
      </c>
      <c r="Q51" s="33">
        <f>IF(O51=0,0,IF(O51=P51,1,0))</f>
        <v>0</v>
      </c>
      <c r="S51" s="357">
        <f>SUM(Inputs!J54:J63)</f>
        <v>0.088104862310381685</v>
      </c>
      <c r="T51" s="358">
        <f>SUM(J51:J55)</f>
        <v>0.69439549538946588</v>
      </c>
      <c r="U51" s="33">
        <f>IF(S51=0,0,IF(S51=T51,1,0))</f>
        <v>0</v>
      </c>
      <c r="W51" s="122">
        <f>SUM(Inputs!L54:L63)</f>
        <v>8.6247155850025568</v>
      </c>
      <c r="X51" s="359">
        <f>SUM(L51:L55)</f>
        <v>5.0433718208637091</v>
      </c>
      <c r="Y51" s="33">
        <f>IF(W51=0,0,IF(W51=X51,1,0))</f>
        <v>0</v>
      </c>
    </row>
    <row r="52" ht="15" customHeight="1" outlineLevel="1">
      <c r="A52" s="23"/>
      <c r="B52" s="248" t="s">
        <v>150</v>
      </c>
      <c r="C52" s="249"/>
      <c r="D52" s="251" t="s">
        <v>149</v>
      </c>
      <c r="E52" s="251"/>
      <c r="F52" s="216">
        <v>43422</v>
      </c>
      <c r="G52" s="216">
        <v>311425.20292000001</v>
      </c>
      <c r="H52" s="252">
        <v>0.32200000000000001</v>
      </c>
      <c r="I52" s="253">
        <f t="shared" si="40"/>
        <v>0.13942994848478718</v>
      </c>
      <c r="J52" s="253">
        <f t="shared" si="41"/>
        <v>0.12236816196572768</v>
      </c>
      <c r="K52" s="254">
        <v>1.01098</v>
      </c>
      <c r="L52" s="255">
        <f>K52/(1+(1-H52)*Inputs!I60)</f>
        <v>1.0049237196738736</v>
      </c>
    </row>
    <row r="53" ht="15" customHeight="1" outlineLevel="1">
      <c r="A53" s="23"/>
      <c r="B53" s="248" t="s">
        <v>151</v>
      </c>
      <c r="C53" s="249"/>
      <c r="D53" s="251" t="s">
        <v>149</v>
      </c>
      <c r="E53" s="251"/>
      <c r="F53" s="216">
        <v>26211</v>
      </c>
      <c r="G53" s="216">
        <v>131995.55592000001</v>
      </c>
      <c r="H53" s="252">
        <v>0.31900000000000001</v>
      </c>
      <c r="I53" s="253">
        <f t="shared" si="40"/>
        <v>0.19857486729239571</v>
      </c>
      <c r="J53" s="253">
        <f t="shared" si="41"/>
        <v>0.16567581442866416</v>
      </c>
      <c r="K53" s="254">
        <v>1.3357300000000001</v>
      </c>
      <c r="L53" s="255">
        <f>K53/(1+(1-H53)*Inputs!I61)</f>
        <v>1.3276931106031498</v>
      </c>
    </row>
    <row r="54" ht="15" customHeight="1" outlineLevel="1">
      <c r="A54" s="23"/>
      <c r="B54" s="248" t="s">
        <v>152</v>
      </c>
      <c r="C54" s="249"/>
      <c r="D54" s="251" t="s">
        <v>149</v>
      </c>
      <c r="E54" s="251"/>
      <c r="F54" s="216">
        <v>15109</v>
      </c>
      <c r="G54" s="216">
        <v>95746.137521500015</v>
      </c>
      <c r="H54" s="252">
        <v>0.33000000000000002</v>
      </c>
      <c r="I54" s="253">
        <f t="shared" si="40"/>
        <v>0.15780271028277501</v>
      </c>
      <c r="J54" s="253">
        <f t="shared" si="41"/>
        <v>0.13629499126343744</v>
      </c>
      <c r="K54" s="254">
        <v>0.99399000000000004</v>
      </c>
      <c r="L54" s="255">
        <f>K54/(1+(1-H54)*Inputs!I62)</f>
        <v>0.98810534199967648</v>
      </c>
    </row>
    <row r="55" ht="15" customHeight="1" outlineLevel="1">
      <c r="A55" s="23"/>
      <c r="B55" s="360" t="s">
        <v>153</v>
      </c>
      <c r="C55" s="360"/>
      <c r="D55" s="361" t="s">
        <v>149</v>
      </c>
      <c r="E55" s="361"/>
      <c r="F55" s="362">
        <v>95234</v>
      </c>
      <c r="G55" s="362">
        <v>666540.62970659998</v>
      </c>
      <c r="H55" s="363">
        <v>0.30199999999999999</v>
      </c>
      <c r="I55" s="364">
        <f t="shared" si="40"/>
        <v>0.14287801186541382</v>
      </c>
      <c r="J55" s="364">
        <f t="shared" si="41"/>
        <v>0.12501597754270144</v>
      </c>
      <c r="K55" s="365">
        <v>0.88324000000000003</v>
      </c>
      <c r="L55" s="366">
        <f>K55/(1+(1-H55)*Inputs!I63)</f>
        <v>0.87779383086036444</v>
      </c>
    </row>
    <row r="56" ht="15" customHeight="1" outlineLevel="1">
      <c r="A56" s="23"/>
      <c r="C56" s="73"/>
      <c r="D56" s="73"/>
      <c r="E56" s="73"/>
      <c r="F56" s="216"/>
      <c r="G56" s="216"/>
      <c r="H56" s="193"/>
      <c r="I56" s="367"/>
      <c r="J56" s="367"/>
      <c r="K56" s="368"/>
      <c r="L56" s="369"/>
    </row>
    <row r="57" ht="15" customHeight="1" outlineLevel="1">
      <c r="A57" s="23"/>
      <c r="B57" s="11"/>
      <c r="C57" s="12"/>
      <c r="D57" s="12"/>
      <c r="E57" s="12"/>
      <c r="F57" s="14"/>
      <c r="G57" s="267" t="s">
        <v>49</v>
      </c>
      <c r="H57" s="268">
        <f>AVERAGE(H51:H55)</f>
        <v>0.31759999999999999</v>
      </c>
      <c r="I57" s="269">
        <f>AVERAGE(I51:I55)</f>
        <v>0.16166633082975274</v>
      </c>
      <c r="J57" s="269">
        <f>AVERAGE(J51:J55)</f>
        <v>0.13887909907789317</v>
      </c>
      <c r="K57" s="270">
        <f>AVERAGE(K51:K55)</f>
        <v>1.014788</v>
      </c>
      <c r="L57" s="270">
        <f>AVERAGE(L51:L55)</f>
        <v>1.0086743641727418</v>
      </c>
    </row>
    <row r="58" ht="15" customHeight="1" outlineLevel="1">
      <c r="A58" s="23"/>
      <c r="B58" s="11"/>
      <c r="C58" s="12"/>
      <c r="D58" s="12"/>
      <c r="E58" s="12"/>
      <c r="F58" s="14"/>
      <c r="G58" s="271" t="s">
        <v>86</v>
      </c>
      <c r="H58" s="272">
        <f>MEDIAN(H51:H55)</f>
        <v>0.31900000000000001</v>
      </c>
      <c r="I58" s="273">
        <f>MEDIAN(I51:I55)</f>
        <v>0.15780271028277501</v>
      </c>
      <c r="J58" s="273">
        <f>MEDIAN(J51:J55)</f>
        <v>0.13629499126343744</v>
      </c>
      <c r="K58" s="274">
        <f>MEDIAN(K51:K55)</f>
        <v>0.99399000000000004</v>
      </c>
      <c r="L58" s="274">
        <f>MEDIAN(L51:L55)</f>
        <v>0.98810534199967648</v>
      </c>
    </row>
    <row r="59" ht="15" customHeight="1" outlineLevel="1">
      <c r="A59" s="23"/>
      <c r="B59" s="11"/>
      <c r="C59" s="12"/>
      <c r="D59" s="12"/>
      <c r="E59" s="12"/>
      <c r="F59" s="14"/>
      <c r="G59" s="14"/>
      <c r="H59" s="275"/>
      <c r="I59" s="74"/>
      <c r="J59" s="74"/>
      <c r="K59" s="276"/>
      <c r="L59" s="276"/>
    </row>
    <row r="60" ht="15" customHeight="1" outlineLevel="1">
      <c r="A60" s="23"/>
      <c r="B60" s="73"/>
      <c r="C60" s="12"/>
      <c r="D60" s="12"/>
      <c r="E60" s="12"/>
      <c r="F60" s="277"/>
      <c r="G60" s="278"/>
      <c r="H60" s="278"/>
      <c r="I60" s="279"/>
      <c r="J60" s="279"/>
      <c r="K60" s="279"/>
      <c r="L60" s="279"/>
      <c r="M60" s="279"/>
    </row>
    <row r="61" ht="15" customHeight="1" outlineLevel="1">
      <c r="A61" s="23"/>
      <c r="B61" s="280" t="s">
        <v>87</v>
      </c>
      <c r="C61" s="134"/>
      <c r="D61" s="134"/>
      <c r="E61" s="134"/>
      <c r="F61" s="281"/>
      <c r="H61" s="280" t="s">
        <v>88</v>
      </c>
      <c r="I61" s="282"/>
      <c r="J61" s="134"/>
      <c r="K61" s="282"/>
      <c r="L61" s="281"/>
    </row>
    <row r="62" s="4" customFormat="1" ht="15" customHeight="1" outlineLevel="1">
      <c r="B62" s="283"/>
      <c r="C62" s="283"/>
      <c r="D62" s="283"/>
      <c r="E62" s="283"/>
      <c r="F62" s="283"/>
      <c r="H62" s="283"/>
      <c r="I62" s="283"/>
      <c r="J62" s="283"/>
      <c r="K62" s="283"/>
      <c r="L62" s="283"/>
      <c r="O62" s="1"/>
      <c r="P62" s="1"/>
      <c r="Q62" s="1"/>
    </row>
    <row r="63" s="4" customFormat="1" ht="15" customHeight="1" outlineLevel="1">
      <c r="B63" s="284" t="s">
        <v>89</v>
      </c>
      <c r="C63" s="1"/>
      <c r="D63" s="34"/>
      <c r="E63" s="34"/>
      <c r="F63" s="193">
        <v>0.047</v>
      </c>
      <c r="H63" s="284" t="s">
        <v>90</v>
      </c>
      <c r="I63" s="1"/>
      <c r="J63" s="1"/>
      <c r="K63" s="1"/>
      <c r="L63" s="193">
        <v>0.024</v>
      </c>
      <c r="O63" s="39" t="s">
        <v>6</v>
      </c>
      <c r="P63" s="40" t="s">
        <v>7</v>
      </c>
      <c r="Q63" s="41" t="s">
        <v>8</v>
      </c>
      <c r="S63" s="39" t="s">
        <v>6</v>
      </c>
      <c r="T63" s="40" t="s">
        <v>7</v>
      </c>
      <c r="U63" s="41" t="s">
        <v>8</v>
      </c>
    </row>
    <row r="64" ht="15" customHeight="1" outlineLevel="1">
      <c r="A64" s="23"/>
      <c r="B64" s="284" t="s">
        <v>91</v>
      </c>
      <c r="F64" s="285">
        <f>Inputs!L65</f>
        <v>0.8624715585002557</v>
      </c>
      <c r="H64" s="284" t="s">
        <v>92</v>
      </c>
      <c r="J64" s="4"/>
      <c r="L64" s="286">
        <f>Inputs!F74</f>
        <v>0.045901243679594486</v>
      </c>
      <c r="O64" s="370">
        <f>Inputs!F72</f>
        <v>0.8624715585002557</v>
      </c>
      <c r="P64" s="371">
        <f t="shared" ref="P64:P66" si="42">F64</f>
        <v>0.8624715585002557</v>
      </c>
      <c r="Q64" s="53">
        <f t="shared" ref="Q64:Q77" si="43">IF(O64=0,0,IF(O64=P64,1,0))</f>
        <v>1</v>
      </c>
      <c r="S64" s="372">
        <f>Inputs!L72</f>
        <v>0.045901243679594486</v>
      </c>
      <c r="T64" s="373">
        <f>L64</f>
        <v>0.045901243679594486</v>
      </c>
      <c r="U64" s="53">
        <f>IF(S64=0,0,IF(S64=T64,1,0))</f>
        <v>1</v>
      </c>
    </row>
    <row r="65" ht="15" customHeight="1" outlineLevel="1">
      <c r="A65" s="23"/>
      <c r="B65" s="287" t="s">
        <v>93</v>
      </c>
      <c r="F65" s="288">
        <f>F64*(1+(1-L73)*Inputs!F85)</f>
        <v>0.96901216278558144</v>
      </c>
      <c r="H65" s="284" t="s">
        <v>94</v>
      </c>
      <c r="L65" s="196">
        <v>0.035999999999999997</v>
      </c>
      <c r="O65" s="370">
        <f>Inputs!F73</f>
        <v>0.97662220594881888</v>
      </c>
      <c r="P65" s="371">
        <f t="shared" si="42"/>
        <v>0.96901216278558144</v>
      </c>
      <c r="Q65" s="53">
        <f t="shared" si="43"/>
        <v>0</v>
      </c>
      <c r="S65" s="370"/>
      <c r="T65" s="371"/>
      <c r="U65" s="53"/>
    </row>
    <row r="66" ht="15" customHeight="1" outlineLevel="1">
      <c r="A66" s="23"/>
      <c r="B66" s="284" t="s">
        <v>92</v>
      </c>
      <c r="F66" s="286">
        <f>F63*Inputs!F73</f>
        <v>0.045901243679594486</v>
      </c>
      <c r="H66" s="284" t="s">
        <v>88</v>
      </c>
      <c r="J66" s="4"/>
      <c r="L66" s="286">
        <f>SUM(Inputs!L71:L73)</f>
        <v>0.1059012436795945</v>
      </c>
      <c r="O66" s="374">
        <f>Inputs!F74</f>
        <v>0.045901243679594486</v>
      </c>
      <c r="P66" s="375">
        <f t="shared" si="42"/>
        <v>0.045901243679594486</v>
      </c>
      <c r="Q66" s="72">
        <f t="shared" si="43"/>
        <v>1</v>
      </c>
      <c r="S66" s="374">
        <f>Inputs!L74</f>
        <v>0.1059012436795945</v>
      </c>
      <c r="T66" s="375">
        <f>L66</f>
        <v>0.1059012436795945</v>
      </c>
      <c r="U66" s="72">
        <f>IF(S66=0,0,IF(S66=T66,1,0))</f>
        <v>1</v>
      </c>
    </row>
    <row r="67" ht="15" customHeight="1" outlineLevel="1">
      <c r="A67" s="23"/>
    </row>
    <row r="68" s="4" customFormat="1" ht="15" customHeight="1" outlineLevel="1"/>
    <row r="69" s="4" customFormat="1" ht="15" customHeight="1" outlineLevel="1">
      <c r="I69" s="289"/>
      <c r="K69" s="289"/>
      <c r="L69" s="289"/>
    </row>
    <row r="70" ht="15" customHeight="1" outlineLevel="1">
      <c r="A70" s="23"/>
      <c r="B70" s="280" t="s">
        <v>95</v>
      </c>
      <c r="C70" s="134"/>
      <c r="D70" s="134"/>
      <c r="E70" s="290"/>
      <c r="F70" s="290"/>
      <c r="H70" s="280" t="s">
        <v>96</v>
      </c>
      <c r="I70" s="134"/>
      <c r="J70" s="134"/>
      <c r="K70" s="134"/>
      <c r="L70" s="281"/>
    </row>
    <row r="71" ht="15" customHeight="1" outlineLevel="1">
      <c r="A71" s="23"/>
      <c r="C71" s="283"/>
      <c r="D71" s="283"/>
      <c r="E71" s="283"/>
      <c r="F71" s="283"/>
      <c r="H71" s="283"/>
      <c r="I71" s="283"/>
      <c r="J71" s="283"/>
      <c r="K71" s="283"/>
      <c r="L71" s="283"/>
    </row>
    <row r="72" ht="15" customHeight="1" outlineLevel="1">
      <c r="A72" s="23"/>
      <c r="B72" s="11"/>
      <c r="E72" s="291" t="s">
        <v>97</v>
      </c>
      <c r="F72" s="291" t="s">
        <v>98</v>
      </c>
      <c r="H72" s="284" t="s">
        <v>99</v>
      </c>
      <c r="I72" s="4"/>
      <c r="K72" s="4"/>
      <c r="L72" s="193">
        <v>0.051999999999999998</v>
      </c>
      <c r="O72" s="39" t="s">
        <v>6</v>
      </c>
      <c r="P72" s="40" t="s">
        <v>7</v>
      </c>
      <c r="Q72" s="41" t="s">
        <v>8</v>
      </c>
      <c r="W72" s="39" t="s">
        <v>6</v>
      </c>
      <c r="X72" s="40" t="s">
        <v>7</v>
      </c>
      <c r="Y72" s="41" t="s">
        <v>8</v>
      </c>
    </row>
    <row r="73" ht="15" customHeight="1" outlineLevel="1">
      <c r="A73" s="23"/>
      <c r="B73" s="284" t="s">
        <v>100</v>
      </c>
      <c r="C73" s="4"/>
      <c r="D73" s="292">
        <v>19102</v>
      </c>
      <c r="E73" s="286">
        <f t="shared" ref="E73:E74" si="44">D73/$D$75</f>
        <v>0.13153654404979961</v>
      </c>
      <c r="F73" s="193">
        <v>0.14999999999999999</v>
      </c>
      <c r="H73" s="284" t="s">
        <v>101</v>
      </c>
      <c r="L73" s="196">
        <v>0.29999999999999999</v>
      </c>
      <c r="O73" s="372">
        <f>SUM(Inputs!E81:F81)</f>
        <v>0.28153654404979961</v>
      </c>
      <c r="P73" s="373">
        <f t="shared" ref="P73:P77" si="45">SUM(E73:F73)</f>
        <v>0.28153654404979961</v>
      </c>
      <c r="Q73" s="53">
        <f t="shared" si="43"/>
        <v>1</v>
      </c>
      <c r="W73" s="376"/>
      <c r="X73" s="377"/>
      <c r="Y73" s="378"/>
    </row>
    <row r="74" ht="15" customHeight="1" outlineLevel="1">
      <c r="A74" s="23"/>
      <c r="B74" s="284" t="s">
        <v>102</v>
      </c>
      <c r="D74" s="293">
        <v>126120</v>
      </c>
      <c r="E74" s="294">
        <f t="shared" si="44"/>
        <v>0.86846345595020036</v>
      </c>
      <c r="F74" s="294">
        <f>1-F73</f>
        <v>0.84999999999999998</v>
      </c>
      <c r="H74" s="284" t="s">
        <v>103</v>
      </c>
      <c r="L74" s="286">
        <f>L72*(1-L73)</f>
        <v>0.036399999999999995</v>
      </c>
      <c r="O74" s="372">
        <f>SUM(Inputs!E82:F82)</f>
        <v>1.7184634559502003</v>
      </c>
      <c r="P74" s="373">
        <f t="shared" si="45"/>
        <v>1.7184634559502003</v>
      </c>
      <c r="Q74" s="53">
        <f t="shared" si="43"/>
        <v>1</v>
      </c>
      <c r="W74" s="374">
        <f>Inputs!L82</f>
        <v>0.039</v>
      </c>
      <c r="X74" s="375">
        <f>L74</f>
        <v>0.036399999999999995</v>
      </c>
      <c r="Y74" s="72">
        <f>IF(W74=0,0,IF(W74=X74,1,0))</f>
        <v>0</v>
      </c>
    </row>
    <row r="75" ht="15" customHeight="1" outlineLevel="1">
      <c r="A75" s="23"/>
      <c r="B75" s="284" t="s">
        <v>104</v>
      </c>
      <c r="D75" s="295">
        <f>SUM(D73:D74)</f>
        <v>145222</v>
      </c>
      <c r="E75" s="286">
        <f>SUM(E73:E74)</f>
        <v>1</v>
      </c>
      <c r="F75" s="286">
        <f>SUM(F73:F74)</f>
        <v>1</v>
      </c>
      <c r="O75" s="372">
        <f>SUM(Inputs!E83:F83)</f>
        <v>2</v>
      </c>
      <c r="P75" s="373">
        <f t="shared" si="45"/>
        <v>2</v>
      </c>
      <c r="Q75" s="53">
        <f t="shared" si="43"/>
        <v>1</v>
      </c>
    </row>
    <row r="76" ht="15" customHeight="1" outlineLevel="1">
      <c r="A76" s="23"/>
      <c r="F76" s="14"/>
      <c r="O76" s="376"/>
      <c r="P76" s="377"/>
      <c r="Q76" s="379"/>
    </row>
    <row r="77" ht="15" customHeight="1" outlineLevel="1">
      <c r="A77" s="23"/>
      <c r="B77" s="296" t="s">
        <v>105</v>
      </c>
      <c r="C77" s="297"/>
      <c r="D77" s="297"/>
      <c r="E77" s="298">
        <f>Inputs!E81/Inputs!E82</f>
        <v>0.15145892800507454</v>
      </c>
      <c r="F77" s="298">
        <f>Inputs!F81/Inputs!F82</f>
        <v>0.17647058823529413</v>
      </c>
      <c r="H77" s="280" t="s">
        <v>48</v>
      </c>
      <c r="I77" s="282"/>
      <c r="J77" s="134"/>
      <c r="K77" s="281"/>
      <c r="L77" s="134"/>
      <c r="O77" s="374">
        <f>SUM(Inputs!E85:F85)</f>
        <v>0.3279295162403687</v>
      </c>
      <c r="P77" s="375">
        <f t="shared" si="45"/>
        <v>0.3279295162403687</v>
      </c>
      <c r="Q77" s="72">
        <f t="shared" si="43"/>
        <v>1</v>
      </c>
    </row>
    <row r="78" s="4" customFormat="1" ht="15" customHeight="1" outlineLevel="1">
      <c r="B78" s="61"/>
      <c r="C78" s="1"/>
      <c r="D78" s="1"/>
      <c r="E78" s="1"/>
      <c r="F78" s="1"/>
      <c r="G78" s="12"/>
      <c r="H78" s="283"/>
      <c r="I78" s="283"/>
      <c r="J78" s="283"/>
      <c r="K78" s="283"/>
      <c r="L78" s="283"/>
    </row>
    <row r="79" s="4" customFormat="1" ht="15" customHeight="1" outlineLevel="1">
      <c r="B79" s="73"/>
      <c r="C79" s="1"/>
      <c r="D79" s="1"/>
      <c r="E79" s="1"/>
      <c r="F79" s="1"/>
      <c r="G79" s="12"/>
      <c r="K79" s="291" t="s">
        <v>106</v>
      </c>
      <c r="L79" s="291" t="s">
        <v>107</v>
      </c>
      <c r="S79" s="39" t="s">
        <v>6</v>
      </c>
      <c r="T79" s="40" t="s">
        <v>7</v>
      </c>
      <c r="U79" s="41" t="s">
        <v>8</v>
      </c>
      <c r="W79" s="39" t="s">
        <v>6</v>
      </c>
      <c r="X79" s="40" t="s">
        <v>7</v>
      </c>
      <c r="Y79" s="41" t="s">
        <v>8</v>
      </c>
    </row>
    <row r="80" ht="15" customHeight="1" outlineLevel="1">
      <c r="A80" s="23"/>
      <c r="B80" s="299" t="s">
        <v>108</v>
      </c>
      <c r="C80" s="4"/>
      <c r="D80" s="300"/>
      <c r="E80" s="300"/>
      <c r="F80" s="300"/>
      <c r="H80" s="284" t="s">
        <v>109</v>
      </c>
      <c r="J80" s="4"/>
      <c r="K80" s="286">
        <f>F73</f>
        <v>0.14999999999999999</v>
      </c>
      <c r="L80" s="286">
        <f>Inputs!L82</f>
        <v>0.039</v>
      </c>
      <c r="S80" s="372">
        <f>Inputs!K88</f>
        <v>0.14999999999999999</v>
      </c>
      <c r="T80" s="373">
        <f t="shared" ref="T80:T81" si="46">K80</f>
        <v>0.14999999999999999</v>
      </c>
      <c r="U80" s="53">
        <f t="shared" ref="U80:U81" si="47">IF(S80=0,0,IF(S80=T80,1,0))</f>
        <v>1</v>
      </c>
      <c r="W80" s="372">
        <f>Inputs!L88</f>
        <v>0.039</v>
      </c>
      <c r="X80" s="373">
        <f t="shared" ref="X80:X84" si="48">L80</f>
        <v>0.039</v>
      </c>
      <c r="Y80" s="53">
        <f t="shared" ref="Y80:Y84" si="49">IF(W80=0,0,IF(W80=X80,1,0))</f>
        <v>1</v>
      </c>
    </row>
    <row r="81" ht="15" customHeight="1" outlineLevel="1">
      <c r="A81" s="23"/>
      <c r="B81" s="301" t="s">
        <v>110</v>
      </c>
      <c r="C81" s="4"/>
      <c r="D81" s="300"/>
      <c r="E81" s="300"/>
      <c r="F81" s="300"/>
      <c r="H81" s="284" t="s">
        <v>111</v>
      </c>
      <c r="K81" s="286">
        <f>Inputs!F82</f>
        <v>0.84999999999999998</v>
      </c>
      <c r="L81" s="286">
        <f>Inputs!L74</f>
        <v>0.1059012436795945</v>
      </c>
      <c r="S81" s="374">
        <f>Inputs!K89</f>
        <v>0.84999999999999998</v>
      </c>
      <c r="T81" s="375">
        <f t="shared" si="46"/>
        <v>0.84999999999999998</v>
      </c>
      <c r="U81" s="72">
        <f t="shared" si="47"/>
        <v>1</v>
      </c>
      <c r="W81" s="372">
        <f>Inputs!L89</f>
        <v>0.1059012436795945</v>
      </c>
      <c r="X81" s="373">
        <f t="shared" si="48"/>
        <v>0.1059012436795945</v>
      </c>
      <c r="Y81" s="53">
        <f t="shared" si="49"/>
        <v>1</v>
      </c>
    </row>
    <row r="82" ht="15" customHeight="1" outlineLevel="1">
      <c r="A82" s="23"/>
      <c r="B82" s="302" t="s">
        <v>112</v>
      </c>
      <c r="W82" s="376"/>
      <c r="X82" s="377"/>
      <c r="Y82" s="379"/>
    </row>
    <row r="83" ht="15" customHeight="1" outlineLevel="1">
      <c r="B83" s="303" t="s">
        <v>113</v>
      </c>
      <c r="H83" s="4"/>
      <c r="I83" s="4"/>
      <c r="J83" s="4"/>
      <c r="K83" s="4"/>
      <c r="L83" s="304"/>
      <c r="W83" s="376"/>
      <c r="X83" s="377"/>
      <c r="Y83" s="379"/>
    </row>
    <row r="84" s="4" customFormat="1" ht="15" customHeight="1" outlineLevel="1">
      <c r="B84" s="67"/>
      <c r="H84" s="284" t="s">
        <v>48</v>
      </c>
      <c r="I84" s="1"/>
      <c r="J84" s="1"/>
      <c r="L84" s="305">
        <f>SUMPRODUCT(Inputs!K88:K89,Inputs!L88:L89)</f>
        <v>0.095866057127655321</v>
      </c>
      <c r="W84" s="374">
        <f>Inputs!L92</f>
        <v>0.095866057127655321</v>
      </c>
      <c r="X84" s="375">
        <f t="shared" si="48"/>
        <v>0.095866057127655321</v>
      </c>
      <c r="Y84" s="72">
        <f t="shared" si="49"/>
        <v>1</v>
      </c>
    </row>
    <row r="85" ht="15" customHeight="1" outlineLevel="1">
      <c r="Y85" s="60"/>
    </row>
    <row r="86" s="54" customFormat="1" ht="15" customHeight="1" outlineLevel="1">
      <c r="B86" s="231"/>
      <c r="C86" s="231"/>
      <c r="D86" s="231"/>
      <c r="E86" s="231"/>
      <c r="F86" s="231"/>
      <c r="G86" s="231"/>
      <c r="H86" s="232"/>
      <c r="I86" s="232"/>
      <c r="J86" s="232"/>
      <c r="K86" s="232"/>
      <c r="L86" s="232"/>
      <c r="M86" s="230"/>
      <c r="Y86" s="351" t="str">
        <f>IF(SUM(Y50:Y84)+SUM(U50:U84)+SUM(Q50:Q84)=18,"COMPLETE","")</f>
        <v/>
      </c>
    </row>
    <row r="88" ht="15" customHeight="1">
      <c r="A88" s="172" t="s">
        <v>0</v>
      </c>
      <c r="B88" s="6" t="s">
        <v>114</v>
      </c>
      <c r="C88" s="7"/>
      <c r="D88" s="8"/>
      <c r="E88" s="8"/>
      <c r="F88" s="9"/>
      <c r="G88" s="9"/>
      <c r="H88" s="9"/>
      <c r="I88" s="9"/>
      <c r="J88" s="9"/>
      <c r="K88" s="9"/>
      <c r="L88" s="9"/>
      <c r="M88" s="10"/>
    </row>
    <row r="89" ht="15" customHeight="1" outlineLevel="1">
      <c r="A89" s="172"/>
      <c r="B89" s="11"/>
      <c r="C89" s="173"/>
      <c r="D89" s="173"/>
      <c r="E89" s="173"/>
      <c r="F89" s="173"/>
      <c r="G89" s="174"/>
      <c r="H89" s="175"/>
      <c r="I89" s="175"/>
      <c r="J89" s="175"/>
      <c r="K89" s="175"/>
      <c r="L89" s="175"/>
      <c r="M89" s="172"/>
    </row>
    <row r="90" ht="15" customHeight="1" outlineLevel="1">
      <c r="A90" s="23"/>
      <c r="B90" s="11" t="s">
        <v>3</v>
      </c>
      <c r="C90" s="12"/>
      <c r="D90" s="12"/>
      <c r="E90" s="12"/>
      <c r="F90" s="14"/>
      <c r="G90" s="14"/>
      <c r="H90" s="14"/>
      <c r="I90" s="16"/>
      <c r="J90" s="16"/>
      <c r="K90" s="16"/>
      <c r="L90" s="16"/>
      <c r="M90" s="16"/>
    </row>
    <row r="91" ht="15" customHeight="1" outlineLevel="1">
      <c r="A91" s="23"/>
      <c r="C91" s="12"/>
      <c r="D91" s="12"/>
      <c r="E91" s="12"/>
      <c r="F91" s="14"/>
      <c r="G91" s="233"/>
      <c r="H91" s="233"/>
      <c r="I91" s="233"/>
      <c r="J91" s="233"/>
      <c r="K91" s="233"/>
      <c r="L91" s="233"/>
      <c r="M91" s="233"/>
    </row>
    <row r="92" ht="15" customHeight="1" outlineLevel="1">
      <c r="A92" s="23"/>
      <c r="C92" s="12"/>
      <c r="D92" s="12"/>
      <c r="E92" s="12"/>
      <c r="F92" s="14"/>
      <c r="G92" s="233"/>
      <c r="H92" s="233"/>
      <c r="I92" s="233"/>
      <c r="J92" s="233"/>
      <c r="K92" s="233"/>
      <c r="L92" s="233"/>
      <c r="M92" s="233"/>
    </row>
    <row r="93" ht="15" customHeight="1" outlineLevel="1">
      <c r="A93" s="172"/>
      <c r="B93" s="306" t="s">
        <v>115</v>
      </c>
      <c r="C93" s="307"/>
      <c r="D93" s="307"/>
      <c r="E93" s="307"/>
      <c r="F93" s="307"/>
      <c r="G93" s="307"/>
      <c r="H93" s="306" t="str">
        <f>CONCATENATE("End of ",G5-1," Balances")</f>
        <v xml:space="preserve">End of 2022 Balances</v>
      </c>
    </row>
    <row r="94" ht="15" customHeight="1" outlineLevel="1">
      <c r="A94" s="172"/>
      <c r="B94" s="308" t="s">
        <v>116</v>
      </c>
      <c r="C94" s="309"/>
      <c r="D94" s="310"/>
      <c r="E94" s="311" t="s">
        <v>117</v>
      </c>
      <c r="F94" s="312">
        <v>45016</v>
      </c>
      <c r="G94" s="307"/>
      <c r="H94" s="309" t="s">
        <v>16</v>
      </c>
      <c r="I94" s="309"/>
      <c r="J94" s="313"/>
      <c r="K94" s="24"/>
      <c r="L94" s="314">
        <v>18642</v>
      </c>
    </row>
    <row r="95" ht="15" customHeight="1" outlineLevel="1">
      <c r="A95" s="172"/>
      <c r="B95" s="315" t="s">
        <v>118</v>
      </c>
      <c r="C95" s="17"/>
      <c r="D95" s="249"/>
      <c r="E95" s="226" t="s">
        <v>117</v>
      </c>
      <c r="F95" s="316">
        <v>45107</v>
      </c>
      <c r="G95" s="307"/>
      <c r="H95" s="307" t="s">
        <v>119</v>
      </c>
      <c r="I95" s="317"/>
      <c r="J95" s="307"/>
      <c r="L95" s="318">
        <v>65014</v>
      </c>
    </row>
    <row r="96" ht="15" customHeight="1" outlineLevel="1">
      <c r="A96" s="172"/>
      <c r="B96" s="17" t="s">
        <v>120</v>
      </c>
      <c r="C96" s="249"/>
      <c r="D96" s="249"/>
      <c r="E96" s="226" t="s">
        <v>117</v>
      </c>
      <c r="F96" s="316">
        <v>45291</v>
      </c>
      <c r="G96" s="307"/>
      <c r="H96" s="307" t="s">
        <v>121</v>
      </c>
      <c r="I96" s="317"/>
      <c r="J96" s="317"/>
      <c r="L96" s="318">
        <v>39211</v>
      </c>
    </row>
    <row r="97" ht="15" customHeight="1" outlineLevel="1">
      <c r="A97" s="172"/>
      <c r="B97" s="17" t="s">
        <v>122</v>
      </c>
      <c r="C97" s="17"/>
      <c r="D97" s="249"/>
      <c r="E97" s="226" t="s">
        <v>123</v>
      </c>
      <c r="F97" s="319">
        <f>YEAR(F96)</f>
        <v>2023</v>
      </c>
      <c r="G97" s="307"/>
      <c r="H97" s="307" t="s">
        <v>124</v>
      </c>
      <c r="I97" s="307"/>
      <c r="J97" s="307"/>
      <c r="L97" s="320">
        <v>24128</v>
      </c>
    </row>
    <row r="98" ht="15" customHeight="1" outlineLevel="1">
      <c r="A98" s="172"/>
      <c r="B98" s="315" t="s">
        <v>125</v>
      </c>
      <c r="C98" s="249"/>
      <c r="D98" s="249"/>
      <c r="E98" s="249"/>
      <c r="F98" s="380">
        <f t="shared" ref="F98:F99" si="50">IF(F94&gt;F95,1,0)</f>
        <v>0</v>
      </c>
      <c r="G98" s="381"/>
    </row>
    <row r="99" ht="15" customHeight="1" outlineLevel="1">
      <c r="A99" s="172"/>
      <c r="B99" s="315" t="s">
        <v>127</v>
      </c>
      <c r="C99" s="17"/>
      <c r="D99" s="17"/>
      <c r="E99" s="249"/>
      <c r="F99" s="380">
        <f t="shared" si="50"/>
        <v>0</v>
      </c>
    </row>
    <row r="100" ht="15" customHeight="1" outlineLevel="1">
      <c r="A100" s="172"/>
      <c r="B100" s="17" t="s">
        <v>129</v>
      </c>
      <c r="C100" s="323"/>
      <c r="D100" s="323"/>
      <c r="E100" s="249"/>
      <c r="F100" s="292">
        <v>365</v>
      </c>
    </row>
    <row r="101" ht="15" customHeight="1" outlineLevel="1">
      <c r="A101" s="172"/>
      <c r="B101" s="17"/>
      <c r="C101" s="323"/>
      <c r="D101" s="323"/>
      <c r="E101" s="249"/>
      <c r="F101" s="292"/>
    </row>
    <row r="102" ht="15" customHeight="1" outlineLevel="1">
      <c r="A102" s="172"/>
    </row>
    <row r="103" ht="15" customHeight="1" outlineLevel="1">
      <c r="A103" s="172"/>
      <c r="H103" s="324" t="s">
        <v>114</v>
      </c>
      <c r="I103" s="325"/>
      <c r="J103" s="325"/>
      <c r="K103" s="325"/>
      <c r="L103" s="325"/>
    </row>
    <row r="104" ht="15" customHeight="1" outlineLevel="1">
      <c r="A104" s="172"/>
      <c r="B104" s="306" t="s">
        <v>130</v>
      </c>
      <c r="C104" s="307"/>
      <c r="D104" s="307"/>
      <c r="E104" s="307"/>
      <c r="F104" s="307"/>
      <c r="G104" s="381"/>
      <c r="H104" s="17" t="s">
        <v>154</v>
      </c>
      <c r="I104" s="17"/>
      <c r="J104" s="17"/>
      <c r="K104" s="333" t="s">
        <v>155</v>
      </c>
      <c r="L104" s="318">
        <v>1600</v>
      </c>
    </row>
    <row r="105" ht="15" customHeight="1" outlineLevel="1">
      <c r="A105" s="172"/>
      <c r="B105" s="309" t="s">
        <v>18</v>
      </c>
      <c r="C105" s="309"/>
      <c r="D105" s="309"/>
      <c r="E105" s="311" t="s">
        <v>19</v>
      </c>
      <c r="F105" s="314">
        <v>34200</v>
      </c>
      <c r="G105" s="381"/>
      <c r="H105" s="17" t="s">
        <v>156</v>
      </c>
      <c r="I105" s="382"/>
      <c r="J105" s="17"/>
      <c r="K105" s="323"/>
      <c r="L105" s="318">
        <v>2520</v>
      </c>
    </row>
    <row r="106" s="54" customFormat="1" ht="15" customHeight="1" outlineLevel="1">
      <c r="B106" s="66" t="s">
        <v>21</v>
      </c>
      <c r="C106" s="66"/>
      <c r="D106" s="66"/>
      <c r="E106" s="331" t="s">
        <v>22</v>
      </c>
      <c r="F106" s="322">
        <v>2.23</v>
      </c>
      <c r="G106" s="381"/>
      <c r="H106" s="17" t="s">
        <v>131</v>
      </c>
      <c r="I106" s="17"/>
      <c r="J106" s="17"/>
      <c r="K106" s="17"/>
      <c r="L106" s="326">
        <v>0.5</v>
      </c>
      <c r="M106" s="1"/>
    </row>
    <row r="107" s="54" customFormat="1" ht="15" customHeight="1" outlineLevel="1">
      <c r="B107" s="17" t="s">
        <v>13</v>
      </c>
      <c r="C107" s="17"/>
      <c r="D107" s="17"/>
      <c r="E107" s="249"/>
      <c r="F107" s="332">
        <v>0.02</v>
      </c>
      <c r="G107" s="381"/>
      <c r="H107" s="66" t="s">
        <v>132</v>
      </c>
      <c r="I107" s="327"/>
      <c r="J107" s="328"/>
      <c r="K107" s="329"/>
      <c r="L107" s="330">
        <v>0.14999999999999999</v>
      </c>
      <c r="M107" s="204"/>
    </row>
    <row r="108" s="54" customFormat="1" ht="15" customHeight="1" outlineLevel="1">
      <c r="B108" s="17" t="s">
        <v>136</v>
      </c>
      <c r="C108" s="17"/>
      <c r="D108" s="17"/>
      <c r="E108" s="333"/>
      <c r="F108" s="335">
        <v>7</v>
      </c>
      <c r="G108" s="174"/>
      <c r="H108" s="17" t="s">
        <v>133</v>
      </c>
      <c r="I108" s="17"/>
      <c r="J108" s="17"/>
      <c r="K108" s="17"/>
      <c r="L108" s="326">
        <v>0.5</v>
      </c>
      <c r="M108" s="204"/>
      <c r="O108" s="39" t="s">
        <v>6</v>
      </c>
      <c r="P108" s="40" t="s">
        <v>7</v>
      </c>
      <c r="Q108" s="41" t="s">
        <v>8</v>
      </c>
    </row>
    <row r="109" s="54" customFormat="1" ht="15" customHeight="1" outlineLevel="1">
      <c r="B109" s="17" t="s">
        <v>138</v>
      </c>
      <c r="C109" s="17"/>
      <c r="D109" s="17"/>
      <c r="E109" s="249"/>
      <c r="F109" s="336">
        <f>Inputs!L92</f>
        <v>0.095866057127655321</v>
      </c>
      <c r="G109" s="174"/>
      <c r="H109" s="17" t="s">
        <v>134</v>
      </c>
      <c r="I109" s="17"/>
      <c r="J109" s="17"/>
      <c r="K109" s="333" t="s">
        <v>135</v>
      </c>
      <c r="L109" s="334">
        <v>16</v>
      </c>
      <c r="M109" s="204"/>
      <c r="O109" s="372">
        <f>Inputs!F117</f>
        <v>0.095866057127655321</v>
      </c>
      <c r="P109" s="373">
        <f t="shared" ref="P109:P110" si="51">F109</f>
        <v>0.095866057127655321</v>
      </c>
      <c r="Q109" s="53">
        <f>IF(O109=0,0,IF(O109=P109,1,0))</f>
        <v>1</v>
      </c>
    </row>
    <row r="110" s="54" customFormat="1" ht="15" customHeight="1" outlineLevel="1">
      <c r="B110" s="315" t="s">
        <v>140</v>
      </c>
      <c r="C110" s="327"/>
      <c r="D110" s="328"/>
      <c r="E110" s="329"/>
      <c r="F110" s="383">
        <f>IF(F107&gt;=Inputs!F117,1,0)</f>
        <v>0</v>
      </c>
      <c r="G110" s="174"/>
      <c r="H110" s="17" t="s">
        <v>137</v>
      </c>
      <c r="I110" s="17"/>
      <c r="J110" s="17"/>
      <c r="K110" s="333" t="s">
        <v>135</v>
      </c>
      <c r="L110" s="334">
        <v>20</v>
      </c>
      <c r="M110" s="204"/>
      <c r="O110" s="374">
        <f>Inputs!F118</f>
        <v>0</v>
      </c>
      <c r="P110" s="375">
        <f t="shared" si="51"/>
        <v>0</v>
      </c>
      <c r="Q110" s="72">
        <f>IF(ISBLANK(Inputs!F118),0,IF(O110=P110,1,0))</f>
        <v>1</v>
      </c>
    </row>
    <row r="111" s="54" customFormat="1" ht="15" customHeight="1" outlineLevel="1">
      <c r="B111" s="66"/>
      <c r="C111" s="66"/>
      <c r="D111" s="66"/>
      <c r="E111" s="331"/>
      <c r="F111" s="322"/>
      <c r="G111" s="174"/>
      <c r="H111" s="17"/>
      <c r="I111" s="17"/>
      <c r="J111" s="17"/>
      <c r="K111" s="333"/>
      <c r="L111" s="334"/>
      <c r="M111" s="204"/>
      <c r="Q111" s="349"/>
    </row>
    <row r="112" s="54" customFormat="1" ht="15" customHeight="1" outlineLevel="1">
      <c r="G112" s="174"/>
      <c r="H112" s="17"/>
      <c r="I112" s="17"/>
      <c r="J112" s="17"/>
      <c r="K112" s="333"/>
      <c r="L112" s="335"/>
      <c r="M112" s="204"/>
      <c r="Q112" s="133" t="str">
        <f>IF(SUM(Q109:Q110)=2,"COMPLETE","")</f>
        <v>COMPLETE</v>
      </c>
    </row>
    <row r="113" ht="15" customHeight="1" outlineLevel="1">
      <c r="L113" s="132" t="s">
        <v>145</v>
      </c>
    </row>
    <row r="114" ht="15" customHeight="1" outlineLevel="1"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 t="s">
        <v>0</v>
      </c>
    </row>
  </sheetData>
  <printOptions headings="0" gridLines="0" horizontalCentered="1"/>
  <pageMargins left="0.11811023622047245" right="0.11811023622047245" top="0.11811023622047245" bottom="0.11811023622047245" header="0.11811023622047245" footer="0.11811023622047245"/>
  <pageSetup paperSize="9" scale="88" fitToWidth="1" fitToHeight="1" pageOrder="downThenOver" orientation="landscape" usePrinterDefaults="1" blackAndWhite="0" draft="0" cellComments="none" useFirstPageNumber="0" errors="displayed" horizontalDpi="600" verticalDpi="600" copies="1"/>
  <headerFooter>
    <oddFooter>&amp;L&amp;"Open Sans,Bold"&amp;10&amp;K002060DCF Valuation Modeling&amp;C&amp;"Open Sans,Bold"&amp;10&amp;K002060Page &amp;P of &amp;N&amp;R&amp;G</oddFooter>
  </headerFooter>
  <drawing r:id="rId1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A9F4314-9EB4-409A-BEC6-6469D8F3D797}">
            <xm:f>F98=1</xm:f>
            <x14:dxf>
              <font>
                <b/>
                <i val="0"/>
                <color theme="0"/>
              </font>
              <fill>
                <patternFill patternType="solid">
                  <fgColor rgb="FF947131"/>
                  <bgColor rgb="FF947131"/>
                </patternFill>
              </fill>
            </x14:dxf>
          </x14:cfRule>
          <xm:sqref>F98:F99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0" fitToPage="0"/>
  </sheetPr>
  <sheetViews>
    <sheetView showFormulas="1" showGridLines="0" topLeftCell="A1" zoomScale="85" workbookViewId="0">
      <pane ySplit="1" topLeftCell="A2" activePane="bottomLeft" state="frozen"/>
      <selection activeCell="H562" activeCellId="0" sqref="H562"/>
    </sheetView>
  </sheetViews>
  <sheetFormatPr defaultColWidth="9.140625" defaultRowHeight="15" customHeight="1" outlineLevelRow="1"/>
  <cols>
    <col min="1" max="1" style="1" width="9.140625"/>
    <col customWidth="1" min="2" max="2" style="1" width="17.7109375"/>
    <col customWidth="1" min="3" max="3" style="1" width="11.28515625"/>
    <col customWidth="1" min="4" max="4" style="1" width="15.7109375"/>
    <col bestFit="1" customWidth="1" min="5" max="5" style="1" width="8.7109375"/>
    <col customWidth="1" min="6" max="6" style="1" width="11.7109375"/>
    <col customWidth="1" min="7" max="14" style="1" width="10.28515625"/>
    <col customWidth="1" min="15" max="15" style="1" width="1.7109375"/>
    <col min="16" max="16384" style="1" width="9.140625"/>
  </cols>
  <sheetData>
    <row r="1" ht="50.100000000000001" customHeight="1">
      <c r="A1" s="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" customHeight="1">
      <c r="A2" s="172"/>
      <c r="B2" s="384"/>
      <c r="C2" s="385"/>
      <c r="D2" s="386"/>
      <c r="E2" s="386"/>
      <c r="F2" s="387"/>
      <c r="G2" s="387"/>
      <c r="H2" s="387"/>
      <c r="I2" s="387"/>
      <c r="J2" s="387"/>
      <c r="K2" s="387"/>
      <c r="L2" s="387"/>
      <c r="M2" s="387"/>
      <c r="N2" s="387"/>
      <c r="O2" s="59"/>
    </row>
    <row r="3" ht="15" customHeight="1" outlineLevel="1">
      <c r="A3" s="172"/>
      <c r="B3" s="11" t="s">
        <v>3</v>
      </c>
      <c r="C3" s="12"/>
      <c r="D3" s="14"/>
      <c r="E3" s="14"/>
      <c r="F3" s="388">
        <f>G3-1</f>
        <v>2020</v>
      </c>
      <c r="G3" s="388">
        <f>H3-1</f>
        <v>2021</v>
      </c>
      <c r="H3" s="388">
        <f>I3-1</f>
        <v>2022</v>
      </c>
      <c r="I3" s="389">
        <f>Inputs!$F$105</f>
        <v>2023</v>
      </c>
      <c r="J3" s="389">
        <f>I3+1</f>
        <v>2024</v>
      </c>
      <c r="K3" s="389">
        <f>J3+1</f>
        <v>2025</v>
      </c>
      <c r="L3" s="389">
        <f>K3+1</f>
        <v>2026</v>
      </c>
      <c r="M3" s="389">
        <f>L3+1</f>
        <v>2027</v>
      </c>
      <c r="N3" s="177" t="s">
        <v>31</v>
      </c>
    </row>
    <row r="4" ht="15" customHeight="1" outlineLevel="1">
      <c r="A4" s="172"/>
      <c r="B4" s="11" t="str" cm="1">
        <f t="array" ref="B4">CONCATENATE("Model Running: ",INDEX(Inputs!$B$12:$B$14,Inputs!$D$7)," Drivers")</f>
        <v xml:space="preserve">Model Running: Base Case Drivers</v>
      </c>
      <c r="C4" s="12"/>
      <c r="D4" s="14"/>
      <c r="E4" s="14"/>
      <c r="F4" s="14"/>
      <c r="G4" s="14"/>
      <c r="H4" s="14"/>
      <c r="I4" s="16"/>
      <c r="J4" s="16"/>
      <c r="K4" s="16"/>
      <c r="L4" s="16"/>
      <c r="M4" s="16"/>
      <c r="N4" s="16"/>
    </row>
    <row r="5" ht="15" customHeight="1" outlineLevel="1">
      <c r="A5" s="172"/>
      <c r="C5" s="12"/>
      <c r="D5" s="14"/>
      <c r="E5" s="14"/>
      <c r="F5" s="14"/>
      <c r="G5" s="14"/>
      <c r="H5" s="14"/>
      <c r="I5" s="16"/>
      <c r="J5" s="16"/>
      <c r="K5" s="16"/>
      <c r="L5" s="16"/>
      <c r="M5" s="16"/>
      <c r="N5" s="16"/>
    </row>
    <row r="6" s="4" customFormat="1" ht="15" customHeight="1" outlineLevel="1">
      <c r="B6" s="390" t="s">
        <v>129</v>
      </c>
      <c r="C6" s="391">
        <f>Inputs!$F$108</f>
        <v>365</v>
      </c>
      <c r="D6" s="38"/>
      <c r="E6" s="67"/>
      <c r="F6" s="392">
        <v>365</v>
      </c>
      <c r="G6" s="393">
        <v>365</v>
      </c>
      <c r="H6" s="393">
        <v>365</v>
      </c>
      <c r="I6" s="394">
        <f t="shared" ref="I6:N6" si="52">$C$6</f>
        <v>365</v>
      </c>
      <c r="J6" s="394">
        <f t="shared" si="52"/>
        <v>365</v>
      </c>
      <c r="K6" s="394">
        <f t="shared" si="52"/>
        <v>365</v>
      </c>
      <c r="L6" s="394">
        <f t="shared" si="52"/>
        <v>365</v>
      </c>
      <c r="M6" s="394">
        <f t="shared" si="52"/>
        <v>365</v>
      </c>
      <c r="N6" s="395">
        <f t="shared" si="52"/>
        <v>365</v>
      </c>
    </row>
    <row r="7" ht="15" customHeight="1" outlineLevel="1">
      <c r="A7" s="4"/>
      <c r="B7" s="73" t="s">
        <v>157</v>
      </c>
      <c r="C7" s="12"/>
      <c r="D7" s="14"/>
      <c r="E7" s="14"/>
      <c r="F7" s="396">
        <v>0.024</v>
      </c>
      <c r="G7" s="397">
        <v>0.021999999999999999</v>
      </c>
      <c r="H7" s="397">
        <v>0.023</v>
      </c>
      <c r="I7" s="398">
        <f>Inputs!G17</f>
        <v>0.035000000000000003</v>
      </c>
      <c r="J7" s="398">
        <f>Inputs!H17</f>
        <v>0.029999999999999999</v>
      </c>
      <c r="K7" s="398">
        <f>Inputs!I17</f>
        <v>0.029999999999999999</v>
      </c>
      <c r="L7" s="398">
        <f>Inputs!J17</f>
        <v>0.025000000000000001</v>
      </c>
      <c r="M7" s="398">
        <f>Inputs!K17</f>
        <v>0.025000000000000001</v>
      </c>
      <c r="N7" s="398">
        <f>Inputs!L17</f>
        <v>0.014999999999999999</v>
      </c>
    </row>
    <row r="8" s="4" customFormat="1" ht="15" customHeight="1">
      <c r="B8" s="73"/>
      <c r="C8" s="12"/>
      <c r="D8" s="399"/>
      <c r="E8" s="14"/>
      <c r="F8" s="400"/>
      <c r="G8" s="400"/>
      <c r="H8" s="400"/>
      <c r="I8" s="30"/>
      <c r="J8" s="30"/>
      <c r="K8" s="30"/>
      <c r="L8" s="30"/>
      <c r="M8" s="30"/>
      <c r="N8" s="30"/>
      <c r="O8" s="59"/>
    </row>
    <row r="9" s="23" customFormat="1" ht="15" customHeight="1">
      <c r="A9" s="4" t="s">
        <v>0</v>
      </c>
      <c r="B9" s="6" t="s">
        <v>158</v>
      </c>
      <c r="C9" s="7"/>
      <c r="D9" s="8"/>
      <c r="E9" s="8"/>
      <c r="F9" s="9"/>
      <c r="G9" s="9"/>
      <c r="H9" s="9"/>
      <c r="I9" s="9"/>
      <c r="J9" s="9"/>
      <c r="K9" s="9"/>
      <c r="L9" s="9"/>
      <c r="M9" s="9"/>
      <c r="N9" s="401"/>
    </row>
    <row r="10" s="23" customFormat="1" ht="15" customHeight="1" outlineLevel="1">
      <c r="B10" s="176"/>
      <c r="C10" s="12"/>
      <c r="D10" s="13"/>
      <c r="E10" s="13"/>
      <c r="F10" s="10"/>
      <c r="G10" s="10"/>
      <c r="H10" s="10"/>
      <c r="I10" s="10"/>
      <c r="J10" s="10"/>
      <c r="K10" s="10"/>
      <c r="L10" s="10"/>
      <c r="M10" s="10"/>
      <c r="N10" s="10"/>
    </row>
    <row r="11" s="23" customFormat="1" ht="15" customHeight="1" outlineLevel="1">
      <c r="B11" s="11" t="s">
        <v>3</v>
      </c>
      <c r="C11" s="12"/>
      <c r="D11" s="14"/>
      <c r="E11" s="14"/>
      <c r="F11" s="388">
        <f t="shared" ref="F11:N11" si="53">F$3</f>
        <v>2020</v>
      </c>
      <c r="G11" s="388">
        <f t="shared" si="53"/>
        <v>2021</v>
      </c>
      <c r="H11" s="388">
        <f t="shared" si="53"/>
        <v>2022</v>
      </c>
      <c r="I11" s="389">
        <f t="shared" si="53"/>
        <v>2023</v>
      </c>
      <c r="J11" s="389">
        <f t="shared" si="53"/>
        <v>2024</v>
      </c>
      <c r="K11" s="389">
        <f t="shared" si="53"/>
        <v>2025</v>
      </c>
      <c r="L11" s="389">
        <f t="shared" si="53"/>
        <v>2026</v>
      </c>
      <c r="M11" s="389">
        <f t="shared" si="53"/>
        <v>2027</v>
      </c>
      <c r="N11" s="177" t="str">
        <f t="shared" si="53"/>
        <v>Term</v>
      </c>
    </row>
    <row r="12" ht="15" customHeight="1" outlineLevel="1">
      <c r="A12" s="4"/>
      <c r="B12" s="11" t="str">
        <f>$B$4</f>
        <v xml:space="preserve">Model Running: Base Case Drivers</v>
      </c>
      <c r="C12" s="12"/>
      <c r="D12" s="14"/>
      <c r="E12" s="14"/>
      <c r="F12" s="14"/>
      <c r="G12" s="14"/>
      <c r="H12" s="14"/>
      <c r="I12" s="16"/>
      <c r="J12" s="16"/>
      <c r="K12" s="16"/>
      <c r="L12" s="16"/>
      <c r="M12" s="16"/>
      <c r="N12" s="16"/>
    </row>
    <row r="13" s="23" customFormat="1" ht="15" customHeight="1" outlineLevel="1">
      <c r="B13" s="11"/>
      <c r="C13" s="12"/>
      <c r="D13" s="14"/>
      <c r="E13" s="14"/>
      <c r="F13" s="14"/>
      <c r="G13" s="14"/>
      <c r="H13" s="14"/>
    </row>
    <row r="14" ht="15" customHeight="1" outlineLevel="1">
      <c r="A14" s="4"/>
      <c r="B14" s="73" t="s">
        <v>36</v>
      </c>
      <c r="C14" s="12"/>
      <c r="D14" s="14"/>
      <c r="E14" s="14"/>
      <c r="F14" s="402">
        <v>0.024</v>
      </c>
      <c r="G14" s="403">
        <v>0.021999999999999999</v>
      </c>
      <c r="H14" s="403">
        <v>0.023</v>
      </c>
      <c r="I14" s="404">
        <f>Inputs!G31</f>
        <v>0.035000000000000003</v>
      </c>
      <c r="J14" s="404">
        <f>Inputs!H31</f>
        <v>0.029999999999999999</v>
      </c>
      <c r="K14" s="404">
        <f>Inputs!I31</f>
        <v>0.029999999999999999</v>
      </c>
      <c r="L14" s="404">
        <f>Inputs!J31</f>
        <v>0.025000000000000001</v>
      </c>
      <c r="M14" s="404">
        <f>Inputs!K31</f>
        <v>0.025000000000000001</v>
      </c>
      <c r="N14" s="404">
        <f>Inputs!L31</f>
        <v>0.014999999999999999</v>
      </c>
    </row>
    <row r="15" ht="15" customHeight="1" outlineLevel="1">
      <c r="A15" s="4"/>
      <c r="B15" s="73"/>
      <c r="C15" s="12"/>
      <c r="D15" s="14"/>
      <c r="E15" s="14"/>
      <c r="F15" s="405"/>
      <c r="G15" s="405"/>
      <c r="H15" s="405"/>
      <c r="I15" s="405"/>
      <c r="J15" s="405"/>
      <c r="K15" s="405"/>
      <c r="L15" s="405"/>
      <c r="M15" s="405"/>
      <c r="N15" s="405"/>
    </row>
    <row r="16" s="23" customFormat="1" ht="15" customHeight="1" outlineLevel="1">
      <c r="B16" s="406"/>
      <c r="C16" s="407"/>
      <c r="D16" s="14"/>
      <c r="E16" s="14"/>
      <c r="F16" s="14"/>
      <c r="G16" s="14"/>
      <c r="H16" s="14"/>
    </row>
    <row r="17" s="23" customFormat="1" ht="15" customHeight="1" outlineLevel="1">
      <c r="B17" s="408" t="s">
        <v>101</v>
      </c>
      <c r="C17" s="409">
        <f>Inputs!$L$81</f>
        <v>0.25</v>
      </c>
      <c r="E17" s="14"/>
      <c r="F17" s="14"/>
      <c r="G17" s="14"/>
      <c r="H17" s="14"/>
      <c r="I17" s="16"/>
      <c r="J17" s="16"/>
      <c r="K17" s="16"/>
      <c r="L17" s="16"/>
      <c r="M17" s="16"/>
      <c r="O17" s="59"/>
    </row>
    <row r="18" s="23" customFormat="1" ht="15" customHeight="1" outlineLevel="1">
      <c r="B18" s="17"/>
      <c r="C18" s="12"/>
      <c r="D18" s="14"/>
      <c r="E18" s="14"/>
      <c r="F18" s="14"/>
      <c r="G18" s="14"/>
      <c r="H18" s="14"/>
    </row>
    <row r="19" s="4" customFormat="1" ht="15" customHeight="1" outlineLevel="1">
      <c r="B19" s="284" t="s">
        <v>159</v>
      </c>
      <c r="C19" s="67"/>
      <c r="D19" s="14"/>
      <c r="E19" s="67"/>
      <c r="F19" s="410">
        <v>50589</v>
      </c>
      <c r="G19" s="410">
        <v>51647.864999999998</v>
      </c>
      <c r="H19" s="410">
        <v>53760.849999999999</v>
      </c>
      <c r="I19" s="411">
        <f>H19*(1+Inputs!G10)</f>
        <v>55373.675499999998</v>
      </c>
      <c r="J19" s="411">
        <f>I19*(1+Inputs!H10)</f>
        <v>56481.149010000001</v>
      </c>
      <c r="K19" s="411">
        <f>J19*(1+Inputs!I10)</f>
        <v>57610.771990200003</v>
      </c>
      <c r="L19" s="411">
        <f>K19*(1+Inputs!J10)</f>
        <v>58474.933570052999</v>
      </c>
      <c r="M19" s="411">
        <f>L19*(1+Inputs!K10)</f>
        <v>59352.057573603786</v>
      </c>
      <c r="N19" s="411">
        <f>M19*(1+Inputs!L10)</f>
        <v>59945.578149339824</v>
      </c>
      <c r="P19" s="4" t="s">
        <v>160</v>
      </c>
    </row>
    <row r="20" s="4" customFormat="1" ht="15" customHeight="1" outlineLevel="1">
      <c r="B20" s="284" t="s">
        <v>161</v>
      </c>
      <c r="C20" s="67"/>
      <c r="D20" s="67"/>
      <c r="E20" s="67"/>
      <c r="F20" s="412">
        <v>-24544.299999999999</v>
      </c>
      <c r="G20" s="412">
        <v>-25104.0144</v>
      </c>
      <c r="H20" s="412">
        <v>-25779.4015</v>
      </c>
      <c r="I20" s="413">
        <f t="shared" ref="I20:N20" si="54">H20*(1+I7)</f>
        <v>-26681.680552499998</v>
      </c>
      <c r="J20" s="413">
        <f t="shared" si="54"/>
        <v>-27482.130969074999</v>
      </c>
      <c r="K20" s="413">
        <f t="shared" si="54"/>
        <v>-28306.59489814725</v>
      </c>
      <c r="L20" s="413">
        <f t="shared" si="54"/>
        <v>-29014.259770600929</v>
      </c>
      <c r="M20" s="413">
        <f t="shared" si="54"/>
        <v>-29739.616264865948</v>
      </c>
      <c r="N20" s="413">
        <f t="shared" si="54"/>
        <v>-30185.710508838936</v>
      </c>
      <c r="P20" s="4" t="s">
        <v>160</v>
      </c>
    </row>
    <row r="21" s="4" customFormat="1" ht="15" customHeight="1" outlineLevel="1">
      <c r="B21" s="180" t="s">
        <v>162</v>
      </c>
      <c r="C21" s="414"/>
      <c r="D21" s="67"/>
      <c r="E21" s="67"/>
      <c r="F21" s="415">
        <f>F19+F20</f>
        <v>26044.700000000001</v>
      </c>
      <c r="G21" s="415">
        <f t="shared" ref="G21:N21" si="55">G19+G20</f>
        <v>26543.850599999998</v>
      </c>
      <c r="H21" s="415">
        <f t="shared" si="55"/>
        <v>27981.448499999999</v>
      </c>
      <c r="I21" s="415">
        <f t="shared" si="55"/>
        <v>28691.994947499999</v>
      </c>
      <c r="J21" s="415">
        <f t="shared" si="55"/>
        <v>28999.018040925002</v>
      </c>
      <c r="K21" s="415">
        <f t="shared" si="55"/>
        <v>29304.177092052752</v>
      </c>
      <c r="L21" s="415">
        <f t="shared" si="55"/>
        <v>29460.67379945207</v>
      </c>
      <c r="M21" s="415">
        <f t="shared" si="55"/>
        <v>29612.441308737838</v>
      </c>
      <c r="N21" s="415">
        <f t="shared" si="55"/>
        <v>29759.867640500888</v>
      </c>
      <c r="P21" s="4" t="s">
        <v>160</v>
      </c>
    </row>
    <row r="22" s="4" customFormat="1" ht="15" customHeight="1" outlineLevel="1">
      <c r="B22" s="180"/>
      <c r="C22" s="414"/>
      <c r="D22" s="67"/>
      <c r="E22" s="67"/>
      <c r="F22" s="416"/>
      <c r="G22" s="416"/>
      <c r="H22" s="416"/>
      <c r="I22" s="242"/>
      <c r="J22" s="242"/>
      <c r="K22" s="242"/>
      <c r="L22" s="242"/>
      <c r="M22" s="242"/>
      <c r="N22" s="417"/>
    </row>
    <row r="23" s="4" customFormat="1" ht="15" customHeight="1" outlineLevel="1">
      <c r="B23" s="284"/>
      <c r="C23" s="67"/>
      <c r="D23" s="67"/>
      <c r="E23" s="67"/>
      <c r="F23" s="418"/>
      <c r="G23" s="418"/>
      <c r="H23" s="418"/>
      <c r="I23" s="416"/>
      <c r="J23" s="416"/>
      <c r="K23" s="416"/>
      <c r="L23" s="416"/>
      <c r="M23" s="416"/>
      <c r="N23" s="419"/>
    </row>
    <row r="24" s="4" customFormat="1" ht="15" customHeight="1" outlineLevel="1">
      <c r="B24" s="284" t="s">
        <v>163</v>
      </c>
      <c r="C24" s="67"/>
      <c r="D24" s="410"/>
      <c r="E24" s="67"/>
      <c r="F24" s="410">
        <v>-5877</v>
      </c>
      <c r="G24" s="410">
        <v>-6006</v>
      </c>
      <c r="H24" s="410">
        <v>-6144</v>
      </c>
      <c r="I24" s="411">
        <f>H24*(1+I14)</f>
        <v>-6359.0399999999991</v>
      </c>
      <c r="J24" s="411">
        <f t="shared" ref="J24:N24" si="56">I24*(1+J14)</f>
        <v>-6549.8111999999992</v>
      </c>
      <c r="K24" s="411">
        <f t="shared" si="56"/>
        <v>-6746.3055359999989</v>
      </c>
      <c r="L24" s="411">
        <f t="shared" si="56"/>
        <v>-6914.963174399998</v>
      </c>
      <c r="M24" s="411">
        <f t="shared" si="56"/>
        <v>-7087.8372537599971</v>
      </c>
      <c r="N24" s="420">
        <f t="shared" si="56"/>
        <v>-7194.1548125663967</v>
      </c>
      <c r="P24" s="4" t="s">
        <v>160</v>
      </c>
    </row>
    <row r="25" s="4" customFormat="1" ht="15" customHeight="1" outlineLevel="1">
      <c r="B25" s="284" t="s">
        <v>164</v>
      </c>
      <c r="C25" s="67"/>
      <c r="D25" s="67"/>
      <c r="E25" s="67"/>
      <c r="F25" s="412">
        <v>-1764</v>
      </c>
      <c r="G25" s="412">
        <v>-1931</v>
      </c>
      <c r="H25" s="412">
        <v>-2026</v>
      </c>
      <c r="I25" s="413">
        <f>H25*(1+I14)</f>
        <v>-2096.9099999999999</v>
      </c>
      <c r="J25" s="413">
        <f t="shared" ref="J25:N25" si="57">I25*(1+J14)</f>
        <v>-2159.8172999999997</v>
      </c>
      <c r="K25" s="413">
        <f t="shared" si="57"/>
        <v>-2224.6118189999997</v>
      </c>
      <c r="L25" s="413">
        <f t="shared" si="57"/>
        <v>-2280.2271144749993</v>
      </c>
      <c r="M25" s="413">
        <f t="shared" si="57"/>
        <v>-2337.2327923368739</v>
      </c>
      <c r="N25" s="421">
        <f t="shared" si="57"/>
        <v>-2372.2912842219266</v>
      </c>
      <c r="P25" s="4" t="s">
        <v>160</v>
      </c>
    </row>
    <row r="26" s="4" customFormat="1" ht="15" customHeight="1" outlineLevel="1">
      <c r="B26" s="180" t="s">
        <v>165</v>
      </c>
      <c r="C26" s="414"/>
      <c r="D26" s="67"/>
      <c r="E26" s="67"/>
      <c r="F26" s="415">
        <f>F21+SUM(F24:F25)</f>
        <v>18403.700000000001</v>
      </c>
      <c r="G26" s="415">
        <f t="shared" ref="G26:N26" si="58">G21+SUM(G24:G25)</f>
        <v>18606.850599999998</v>
      </c>
      <c r="H26" s="415">
        <f t="shared" si="58"/>
        <v>19811.448499999999</v>
      </c>
      <c r="I26" s="415">
        <f t="shared" si="58"/>
        <v>20236.044947499999</v>
      </c>
      <c r="J26" s="415">
        <f t="shared" si="58"/>
        <v>20289.389540925004</v>
      </c>
      <c r="K26" s="415">
        <f t="shared" si="58"/>
        <v>20333.259737052755</v>
      </c>
      <c r="L26" s="415">
        <f t="shared" si="58"/>
        <v>20265.483510577073</v>
      </c>
      <c r="M26" s="415">
        <f t="shared" si="58"/>
        <v>20187.371262640969</v>
      </c>
      <c r="N26" s="415">
        <f t="shared" si="58"/>
        <v>20193.421543712564</v>
      </c>
      <c r="P26" s="4" t="s">
        <v>160</v>
      </c>
    </row>
    <row r="27" s="4" customFormat="1" ht="15" customHeight="1" outlineLevel="1">
      <c r="B27" s="180"/>
      <c r="C27" s="414"/>
      <c r="D27" s="67"/>
      <c r="E27" s="67"/>
      <c r="F27" s="416"/>
      <c r="G27" s="416"/>
      <c r="H27" s="416"/>
      <c r="I27" s="242"/>
      <c r="J27" s="242"/>
      <c r="K27" s="242"/>
      <c r="L27" s="242"/>
      <c r="M27" s="242"/>
      <c r="N27" s="417"/>
    </row>
    <row r="28" s="4" customFormat="1" ht="15" customHeight="1" outlineLevel="1">
      <c r="B28" s="284" t="s">
        <v>166</v>
      </c>
      <c r="C28" s="67"/>
      <c r="D28" s="67"/>
      <c r="E28" s="67"/>
      <c r="F28" s="242"/>
      <c r="G28" s="242"/>
      <c r="H28" s="242"/>
      <c r="I28" s="242"/>
      <c r="J28" s="242"/>
      <c r="K28" s="242"/>
      <c r="L28" s="242"/>
      <c r="M28" s="242"/>
      <c r="N28" s="417"/>
    </row>
    <row r="29" s="4" customFormat="1" ht="15" customHeight="1" outlineLevel="1">
      <c r="B29" s="284" t="s">
        <v>167</v>
      </c>
      <c r="C29" s="67"/>
      <c r="D29" s="67"/>
      <c r="E29" s="67"/>
      <c r="F29" s="412">
        <v>-2960</v>
      </c>
      <c r="G29" s="412">
        <v>-3196</v>
      </c>
      <c r="H29" s="412">
        <v>-3452</v>
      </c>
      <c r="I29" s="413">
        <f>I197*-1</f>
        <v>-4962.9375</v>
      </c>
      <c r="J29" s="413">
        <f t="shared" ref="J29:N29" si="59">J197*-1</f>
        <v>-5412.9375</v>
      </c>
      <c r="K29" s="413">
        <f t="shared" si="59"/>
        <v>-5837.9375</v>
      </c>
      <c r="L29" s="413">
        <f t="shared" si="59"/>
        <v>-6187.9375</v>
      </c>
      <c r="M29" s="413">
        <f t="shared" si="59"/>
        <v>-6437.9375</v>
      </c>
      <c r="N29" s="413">
        <f t="shared" si="59"/>
        <v>-6712.9375</v>
      </c>
    </row>
    <row r="30" s="4" customFormat="1" ht="15" customHeight="1" outlineLevel="1">
      <c r="B30" s="180" t="s">
        <v>168</v>
      </c>
      <c r="C30" s="414"/>
      <c r="D30" s="67"/>
      <c r="E30" s="67"/>
      <c r="F30" s="415">
        <f>F26+F29</f>
        <v>15443.700000000001</v>
      </c>
      <c r="G30" s="415">
        <f t="shared" ref="G30:N30" si="60">G26+G29</f>
        <v>15410.850599999998</v>
      </c>
      <c r="H30" s="415">
        <f t="shared" si="60"/>
        <v>16359.448499999999</v>
      </c>
      <c r="I30" s="415">
        <f t="shared" si="60"/>
        <v>15273.107447499999</v>
      </c>
      <c r="J30" s="415">
        <f t="shared" si="60"/>
        <v>14876.452040925004</v>
      </c>
      <c r="K30" s="415">
        <f t="shared" si="60"/>
        <v>14495.322237052755</v>
      </c>
      <c r="L30" s="415">
        <f t="shared" si="60"/>
        <v>14077.546010577073</v>
      </c>
      <c r="M30" s="415">
        <f t="shared" si="60"/>
        <v>13749.433762640969</v>
      </c>
      <c r="N30" s="415">
        <f t="shared" si="60"/>
        <v>13480.484043712564</v>
      </c>
    </row>
    <row r="31" s="4" customFormat="1" ht="15" customHeight="1" outlineLevel="1">
      <c r="B31" s="180"/>
      <c r="C31" s="414"/>
      <c r="D31" s="67"/>
      <c r="E31" s="67"/>
      <c r="F31" s="242"/>
      <c r="G31" s="242"/>
      <c r="H31" s="242"/>
      <c r="I31" s="242"/>
      <c r="J31" s="242"/>
      <c r="K31" s="242"/>
      <c r="L31" s="242"/>
      <c r="M31" s="242"/>
      <c r="N31" s="417"/>
    </row>
    <row r="32" s="4" customFormat="1" ht="15" customHeight="1" outlineLevel="1">
      <c r="B32" s="284" t="s">
        <v>169</v>
      </c>
      <c r="C32" s="67"/>
      <c r="D32" s="67"/>
      <c r="E32" s="67"/>
      <c r="F32" s="410">
        <v>-1688</v>
      </c>
      <c r="G32" s="410">
        <v>-2200</v>
      </c>
      <c r="H32" s="410">
        <v>-2350</v>
      </c>
      <c r="I32" s="413">
        <f t="shared" ref="I32:I33" si="61">I295*-1</f>
        <v>-1110</v>
      </c>
      <c r="J32" s="413">
        <f t="shared" ref="J32:N33" si="62">J295*-1</f>
        <v>-930</v>
      </c>
      <c r="K32" s="413">
        <f t="shared" si="62"/>
        <v>-780</v>
      </c>
      <c r="L32" s="413">
        <f t="shared" si="62"/>
        <v>-630</v>
      </c>
      <c r="M32" s="413">
        <f t="shared" si="62"/>
        <v>-450</v>
      </c>
      <c r="N32" s="413">
        <f t="shared" si="62"/>
        <v>-300</v>
      </c>
    </row>
    <row r="33" s="4" customFormat="1" ht="15" customHeight="1" outlineLevel="1">
      <c r="B33" s="284" t="s">
        <v>170</v>
      </c>
      <c r="C33" s="67"/>
      <c r="D33" s="67"/>
      <c r="E33" s="67"/>
      <c r="F33" s="412">
        <v>200</v>
      </c>
      <c r="G33" s="412">
        <v>180</v>
      </c>
      <c r="H33" s="412">
        <v>193</v>
      </c>
      <c r="I33" s="413">
        <f t="shared" si="61"/>
        <v>84.09999100000006</v>
      </c>
      <c r="J33" s="413">
        <f t="shared" si="62"/>
        <v>110.66678842690764</v>
      </c>
      <c r="K33" s="413">
        <f t="shared" si="62"/>
        <v>160.91112548275879</v>
      </c>
      <c r="L33" s="413">
        <f t="shared" si="62"/>
        <v>184.93385964724126</v>
      </c>
      <c r="M33" s="413">
        <f t="shared" si="62"/>
        <v>240.31815425218258</v>
      </c>
      <c r="N33" s="413">
        <f t="shared" si="62"/>
        <v>296.19420045024231</v>
      </c>
    </row>
    <row r="34" s="4" customFormat="1" ht="15" customHeight="1" outlineLevel="1">
      <c r="B34" s="180" t="s">
        <v>171</v>
      </c>
      <c r="C34" s="414"/>
      <c r="D34" s="67"/>
      <c r="E34" s="67"/>
      <c r="F34" s="415">
        <f>F30+F32+F33</f>
        <v>13955.700000000001</v>
      </c>
      <c r="G34" s="415">
        <f t="shared" ref="G34:N34" si="63">G30+G32+G33</f>
        <v>13390.850599999998</v>
      </c>
      <c r="H34" s="415">
        <f t="shared" si="63"/>
        <v>14202.448499999999</v>
      </c>
      <c r="I34" s="415">
        <f t="shared" si="63"/>
        <v>14247.2074385</v>
      </c>
      <c r="J34" s="415">
        <f t="shared" si="63"/>
        <v>14057.118829351912</v>
      </c>
      <c r="K34" s="415">
        <f t="shared" si="63"/>
        <v>13876.233362535513</v>
      </c>
      <c r="L34" s="415">
        <f t="shared" si="63"/>
        <v>13632.479870224313</v>
      </c>
      <c r="M34" s="415">
        <f t="shared" si="63"/>
        <v>13539.751916893152</v>
      </c>
      <c r="N34" s="415">
        <f t="shared" si="63"/>
        <v>13476.678244162806</v>
      </c>
    </row>
    <row r="35" s="4" customFormat="1" ht="15" customHeight="1" outlineLevel="1">
      <c r="B35" s="180"/>
      <c r="C35" s="414"/>
      <c r="D35" s="67"/>
      <c r="E35" s="67"/>
      <c r="F35" s="242"/>
      <c r="G35" s="242"/>
      <c r="H35" s="242"/>
      <c r="I35" s="242"/>
      <c r="J35" s="242"/>
      <c r="K35" s="242"/>
      <c r="L35" s="242"/>
      <c r="M35" s="242"/>
      <c r="N35" s="417"/>
    </row>
    <row r="36" s="4" customFormat="1" ht="15" customHeight="1" outlineLevel="1">
      <c r="B36" s="284" t="s">
        <v>172</v>
      </c>
      <c r="C36" s="67"/>
      <c r="D36" s="67"/>
      <c r="E36" s="67"/>
      <c r="F36" s="410">
        <v>0</v>
      </c>
      <c r="G36" s="410">
        <v>0</v>
      </c>
      <c r="H36" s="410">
        <v>0</v>
      </c>
      <c r="I36" s="413">
        <f t="shared" ref="I36:N37" si="64">I363</f>
        <v>0</v>
      </c>
      <c r="J36" s="411">
        <f t="shared" si="64"/>
        <v>233.41219196297834</v>
      </c>
      <c r="K36" s="411">
        <f t="shared" si="64"/>
        <v>3125.0759343838781</v>
      </c>
      <c r="L36" s="411">
        <f t="shared" si="64"/>
        <v>3159.6575784935785</v>
      </c>
      <c r="M36" s="411">
        <f t="shared" si="64"/>
        <v>3280.7926047701635</v>
      </c>
      <c r="N36" s="420">
        <f>N34*C17</f>
        <v>3369.1695610407014</v>
      </c>
    </row>
    <row r="37" s="4" customFormat="1" ht="15" customHeight="1" outlineLevel="1">
      <c r="B37" s="284" t="s">
        <v>173</v>
      </c>
      <c r="C37" s="67"/>
      <c r="D37" s="67"/>
      <c r="E37" s="67"/>
      <c r="F37" s="412">
        <v>3155</v>
      </c>
      <c r="G37" s="412">
        <v>2861</v>
      </c>
      <c r="H37" s="412">
        <v>3012</v>
      </c>
      <c r="I37" s="413">
        <f t="shared" si="64"/>
        <v>3561.8018596249999</v>
      </c>
      <c r="J37" s="413">
        <f t="shared" si="64"/>
        <v>3280.8675153749996</v>
      </c>
      <c r="K37" s="413">
        <f t="shared" si="64"/>
        <v>343.98240625000017</v>
      </c>
      <c r="L37" s="413">
        <f t="shared" si="64"/>
        <v>248.46238906249982</v>
      </c>
      <c r="M37" s="413">
        <f t="shared" si="64"/>
        <v>104.14537445312453</v>
      </c>
      <c r="N37" s="413">
        <f t="shared" si="64"/>
        <v>0</v>
      </c>
    </row>
    <row r="38" s="4" customFormat="1" ht="15" customHeight="1" outlineLevel="1">
      <c r="B38" s="284" t="s">
        <v>174</v>
      </c>
      <c r="C38" s="67"/>
      <c r="D38" s="67"/>
      <c r="E38" s="67"/>
      <c r="F38" s="411">
        <f t="shared" ref="F38:N38" si="65">SUM(F36:F37)</f>
        <v>3155</v>
      </c>
      <c r="G38" s="411">
        <f t="shared" si="65"/>
        <v>2861</v>
      </c>
      <c r="H38" s="411">
        <f t="shared" si="65"/>
        <v>3012</v>
      </c>
      <c r="I38" s="411">
        <f t="shared" si="65"/>
        <v>3561.8018596249999</v>
      </c>
      <c r="J38" s="411">
        <f t="shared" si="65"/>
        <v>3514.2797073379779</v>
      </c>
      <c r="K38" s="411">
        <f t="shared" si="65"/>
        <v>3469.0583406338783</v>
      </c>
      <c r="L38" s="411">
        <f t="shared" si="65"/>
        <v>3408.1199675560783</v>
      </c>
      <c r="M38" s="411">
        <f t="shared" si="65"/>
        <v>3384.937979223288</v>
      </c>
      <c r="N38" s="411">
        <f t="shared" si="65"/>
        <v>3369.1695610407014</v>
      </c>
    </row>
    <row r="39" s="4" customFormat="1" ht="15" customHeight="1" outlineLevel="1">
      <c r="B39" s="284"/>
      <c r="C39" s="67"/>
      <c r="D39" s="67"/>
      <c r="E39" s="67"/>
      <c r="F39" s="422"/>
      <c r="G39" s="422"/>
      <c r="H39" s="422"/>
      <c r="I39" s="423"/>
      <c r="J39" s="423"/>
      <c r="K39" s="423"/>
      <c r="L39" s="423"/>
      <c r="M39" s="424"/>
      <c r="N39" s="425"/>
    </row>
    <row r="40" s="4" customFormat="1" ht="15" customHeight="1" outlineLevel="1">
      <c r="B40" s="180" t="s">
        <v>175</v>
      </c>
      <c r="C40" s="414"/>
      <c r="D40" s="426"/>
      <c r="E40" s="67"/>
      <c r="F40" s="427">
        <f t="shared" ref="F40:N40" si="66">F34-F38</f>
        <v>10800.700000000001</v>
      </c>
      <c r="G40" s="427">
        <f t="shared" si="66"/>
        <v>10529.850599999998</v>
      </c>
      <c r="H40" s="427">
        <f>H34-H38</f>
        <v>11190.448499999999</v>
      </c>
      <c r="I40" s="427">
        <f t="shared" si="66"/>
        <v>10685.405578874999</v>
      </c>
      <c r="J40" s="427">
        <f t="shared" si="66"/>
        <v>10542.839122013935</v>
      </c>
      <c r="K40" s="427">
        <f t="shared" si="66"/>
        <v>10407.175021901636</v>
      </c>
      <c r="L40" s="427">
        <f t="shared" si="66"/>
        <v>10224.359902668235</v>
      </c>
      <c r="M40" s="427">
        <f t="shared" si="66"/>
        <v>10154.813937669864</v>
      </c>
      <c r="N40" s="428">
        <f t="shared" si="66"/>
        <v>10107.508683122105</v>
      </c>
    </row>
    <row r="41" s="4" customFormat="1" ht="15" customHeight="1" outlineLevel="1">
      <c r="B41" s="414"/>
      <c r="C41" s="414"/>
      <c r="D41" s="67"/>
      <c r="E41" s="67"/>
      <c r="F41" s="429"/>
      <c r="G41" s="429"/>
      <c r="H41" s="429"/>
      <c r="I41" s="429"/>
      <c r="J41" s="429"/>
      <c r="K41" s="429"/>
      <c r="L41" s="429"/>
      <c r="M41" s="429"/>
      <c r="N41" s="430"/>
    </row>
    <row r="42" s="4" customFormat="1" ht="15" customHeight="1" outlineLevel="1">
      <c r="B42" s="431"/>
      <c r="C42" s="431"/>
      <c r="D42" s="432"/>
      <c r="E42" s="432"/>
      <c r="F42" s="433"/>
      <c r="G42" s="433"/>
      <c r="H42" s="433"/>
      <c r="I42" s="433"/>
      <c r="J42" s="433"/>
      <c r="K42" s="433"/>
      <c r="L42" s="433"/>
      <c r="M42" s="433"/>
      <c r="N42" s="433"/>
    </row>
    <row r="43" s="4" customFormat="1" ht="15" customHeight="1">
      <c r="B43" s="73"/>
      <c r="C43" s="67"/>
      <c r="D43" s="399"/>
      <c r="E43" s="67"/>
      <c r="F43" s="289"/>
      <c r="G43" s="289"/>
      <c r="H43" s="289"/>
      <c r="I43" s="289"/>
      <c r="J43" s="289"/>
      <c r="K43" s="289"/>
      <c r="L43" s="289"/>
      <c r="M43" s="289"/>
      <c r="N43" s="59"/>
      <c r="O43" s="59"/>
    </row>
    <row r="44" s="23" customFormat="1" ht="15" customHeight="1">
      <c r="A44" s="23" t="s">
        <v>0</v>
      </c>
      <c r="B44" s="434" t="s">
        <v>176</v>
      </c>
      <c r="C44" s="435"/>
      <c r="D44" s="436"/>
      <c r="E44" s="436"/>
      <c r="F44" s="437"/>
      <c r="G44" s="437"/>
      <c r="H44" s="437"/>
      <c r="I44" s="437"/>
      <c r="J44" s="437"/>
      <c r="K44" s="437"/>
      <c r="L44" s="437"/>
      <c r="M44" s="437"/>
      <c r="O44" s="59"/>
    </row>
    <row r="45" s="23" customFormat="1" ht="15" customHeight="1" outlineLevel="1">
      <c r="B45" s="176"/>
      <c r="C45" s="12"/>
      <c r="D45" s="13"/>
      <c r="E45" s="13"/>
      <c r="F45" s="10"/>
      <c r="G45" s="10"/>
      <c r="H45" s="10"/>
      <c r="I45" s="10"/>
      <c r="J45" s="10"/>
      <c r="K45" s="10"/>
      <c r="L45" s="10"/>
      <c r="M45" s="10"/>
      <c r="O45" s="438"/>
    </row>
    <row r="46" s="23" customFormat="1" ht="15" customHeight="1" outlineLevel="1">
      <c r="B46" s="11" t="s">
        <v>3</v>
      </c>
      <c r="C46" s="12"/>
      <c r="D46" s="14"/>
      <c r="E46" s="14"/>
      <c r="F46" s="388">
        <f t="shared" ref="F46:N46" si="67">F$3</f>
        <v>2020</v>
      </c>
      <c r="G46" s="388">
        <f t="shared" si="67"/>
        <v>2021</v>
      </c>
      <c r="H46" s="388">
        <f t="shared" si="67"/>
        <v>2022</v>
      </c>
      <c r="I46" s="389">
        <f t="shared" si="67"/>
        <v>2023</v>
      </c>
      <c r="J46" s="389">
        <f t="shared" si="67"/>
        <v>2024</v>
      </c>
      <c r="K46" s="389">
        <f t="shared" si="67"/>
        <v>2025</v>
      </c>
      <c r="L46" s="389">
        <f t="shared" si="67"/>
        <v>2026</v>
      </c>
      <c r="M46" s="389">
        <f t="shared" si="67"/>
        <v>2027</v>
      </c>
      <c r="N46" s="177" t="str">
        <f t="shared" si="67"/>
        <v>Term</v>
      </c>
    </row>
    <row r="47" ht="15" customHeight="1" outlineLevel="1">
      <c r="A47" s="4"/>
      <c r="B47" s="11"/>
      <c r="C47" s="12"/>
      <c r="D47" s="14"/>
      <c r="E47" s="14"/>
      <c r="F47" s="14"/>
      <c r="G47" s="14"/>
      <c r="H47" s="14"/>
      <c r="I47" s="16"/>
      <c r="J47" s="16"/>
      <c r="K47" s="16"/>
      <c r="L47" s="16"/>
      <c r="M47" s="16"/>
    </row>
    <row r="48" s="23" customFormat="1" ht="15" customHeight="1" outlineLevel="1">
      <c r="B48" s="11"/>
      <c r="C48" s="12"/>
      <c r="D48" s="14"/>
      <c r="E48" s="14"/>
      <c r="F48" s="14"/>
      <c r="G48" s="14"/>
      <c r="H48" s="14"/>
      <c r="O48" s="438"/>
    </row>
    <row r="49" s="4" customFormat="1" ht="15" customHeight="1" outlineLevel="1">
      <c r="B49" s="11"/>
      <c r="C49" s="12"/>
      <c r="D49" s="14"/>
      <c r="E49" s="14"/>
      <c r="F49" s="14"/>
      <c r="G49" s="14"/>
      <c r="H49" s="14"/>
      <c r="I49" s="23"/>
      <c r="J49" s="23"/>
      <c r="K49" s="23"/>
      <c r="L49" s="23"/>
      <c r="M49" s="23"/>
      <c r="N49" s="23"/>
      <c r="O49" s="59"/>
    </row>
    <row r="50" s="4" customFormat="1" ht="15" customHeight="1" outlineLevel="1">
      <c r="B50" s="414" t="s">
        <v>177</v>
      </c>
      <c r="C50" s="414"/>
      <c r="D50" s="1"/>
      <c r="E50" s="1"/>
      <c r="F50" s="439"/>
      <c r="G50" s="439"/>
      <c r="H50" s="439"/>
      <c r="I50" s="116"/>
      <c r="J50" s="116"/>
      <c r="K50" s="116"/>
      <c r="L50" s="1"/>
      <c r="M50" s="233"/>
      <c r="N50" s="1"/>
      <c r="O50" s="59"/>
    </row>
    <row r="51" s="4" customFormat="1" ht="15" customHeight="1" outlineLevel="1">
      <c r="B51" s="284" t="s">
        <v>175</v>
      </c>
      <c r="C51" s="284"/>
      <c r="D51" s="1"/>
      <c r="E51" s="1"/>
      <c r="F51" s="440">
        <f>F40</f>
        <v>10800.700000000001</v>
      </c>
      <c r="G51" s="440">
        <f t="shared" ref="G51:M51" si="68">G40</f>
        <v>10529.850599999998</v>
      </c>
      <c r="H51" s="440">
        <f t="shared" si="68"/>
        <v>11190.448499999999</v>
      </c>
      <c r="I51" s="440">
        <f t="shared" si="68"/>
        <v>10685.405578874999</v>
      </c>
      <c r="J51" s="440">
        <f t="shared" si="68"/>
        <v>10542.839122013935</v>
      </c>
      <c r="K51" s="440">
        <f t="shared" si="68"/>
        <v>10407.175021901636</v>
      </c>
      <c r="L51" s="440">
        <f t="shared" si="68"/>
        <v>10224.359902668235</v>
      </c>
      <c r="M51" s="440">
        <f t="shared" si="68"/>
        <v>10154.813937669864</v>
      </c>
      <c r="N51" s="440">
        <f>N40</f>
        <v>10107.508683122105</v>
      </c>
      <c r="O51" s="59"/>
      <c r="P51" s="23" t="s">
        <v>160</v>
      </c>
    </row>
    <row r="52" s="4" customFormat="1" ht="15" customHeight="1" outlineLevel="1">
      <c r="B52" s="284" t="s">
        <v>178</v>
      </c>
      <c r="C52" s="284"/>
      <c r="D52" s="1"/>
      <c r="E52" s="1"/>
      <c r="F52" s="440">
        <f>F37</f>
        <v>3155</v>
      </c>
      <c r="G52" s="440">
        <f t="shared" ref="G52:O52" si="69">G37</f>
        <v>2861</v>
      </c>
      <c r="H52" s="440">
        <f t="shared" si="69"/>
        <v>3012</v>
      </c>
      <c r="I52" s="440">
        <f t="shared" si="69"/>
        <v>3561.8018596249999</v>
      </c>
      <c r="J52" s="440">
        <f t="shared" si="69"/>
        <v>3280.8675153749996</v>
      </c>
      <c r="K52" s="440">
        <f t="shared" si="69"/>
        <v>343.98240625000017</v>
      </c>
      <c r="L52" s="440">
        <f t="shared" si="69"/>
        <v>248.46238906249982</v>
      </c>
      <c r="M52" s="440">
        <f t="shared" si="69"/>
        <v>104.14537445312453</v>
      </c>
      <c r="N52" s="440">
        <f t="shared" si="69"/>
        <v>0</v>
      </c>
      <c r="O52" s="440">
        <f t="shared" si="69"/>
        <v>0</v>
      </c>
      <c r="P52" s="23" t="s">
        <v>160</v>
      </c>
    </row>
    <row r="53" s="4" customFormat="1" ht="15" customHeight="1" outlineLevel="1">
      <c r="B53" s="284" t="s">
        <v>167</v>
      </c>
      <c r="C53" s="284"/>
      <c r="D53" s="1"/>
      <c r="E53" s="1"/>
      <c r="F53" s="440">
        <f t="shared" ref="F53:N53" si="70">F29*-1</f>
        <v>2960</v>
      </c>
      <c r="G53" s="440">
        <f t="shared" si="70"/>
        <v>3196</v>
      </c>
      <c r="H53" s="440">
        <f t="shared" si="70"/>
        <v>3452</v>
      </c>
      <c r="I53" s="440">
        <f t="shared" si="70"/>
        <v>4962.9375</v>
      </c>
      <c r="J53" s="440">
        <f t="shared" si="70"/>
        <v>5412.9375</v>
      </c>
      <c r="K53" s="440">
        <f t="shared" si="70"/>
        <v>5837.9375</v>
      </c>
      <c r="L53" s="440">
        <f t="shared" si="70"/>
        <v>6187.9375</v>
      </c>
      <c r="M53" s="440">
        <f t="shared" si="70"/>
        <v>6437.9375</v>
      </c>
      <c r="N53" s="440">
        <f t="shared" si="70"/>
        <v>6712.9375</v>
      </c>
      <c r="O53" s="438"/>
      <c r="P53" s="23" t="s">
        <v>160</v>
      </c>
    </row>
    <row r="54" s="4" customFormat="1" ht="15" customHeight="1" outlineLevel="1">
      <c r="B54" s="225" t="s">
        <v>179</v>
      </c>
      <c r="C54" s="284"/>
      <c r="D54" s="1"/>
      <c r="E54" s="1"/>
      <c r="F54" s="441">
        <v>-600</v>
      </c>
      <c r="G54" s="440">
        <f t="shared" ref="G54:G55" si="71">F140-G140</f>
        <v>-625</v>
      </c>
      <c r="H54" s="440">
        <f t="shared" ref="H54:N55" si="72">G140-H140</f>
        <v>-291</v>
      </c>
      <c r="I54" s="440">
        <f t="shared" si="72"/>
        <v>-202.89149999999972</v>
      </c>
      <c r="J54" s="440">
        <f t="shared" si="72"/>
        <v>-136.53783000000021</v>
      </c>
      <c r="K54" s="440">
        <f t="shared" si="72"/>
        <v>-139.26858660000016</v>
      </c>
      <c r="L54" s="440">
        <f t="shared" si="72"/>
        <v>-106.54046874899905</v>
      </c>
      <c r="M54" s="440">
        <f t="shared" si="72"/>
        <v>-108.13857578023453</v>
      </c>
      <c r="N54" s="440">
        <f t="shared" si="72"/>
        <v>-73.1737696112923</v>
      </c>
      <c r="O54" s="438"/>
    </row>
    <row r="55" s="4" customFormat="1" ht="15" customHeight="1" outlineLevel="1">
      <c r="B55" s="225" t="s">
        <v>180</v>
      </c>
      <c r="C55" s="284"/>
      <c r="D55" s="1"/>
      <c r="E55" s="1"/>
      <c r="F55" s="441">
        <v>-400</v>
      </c>
      <c r="G55" s="440">
        <f t="shared" si="71"/>
        <v>-131</v>
      </c>
      <c r="H55" s="440">
        <f t="shared" si="72"/>
        <v>-86</v>
      </c>
      <c r="I55" s="440">
        <f t="shared" si="72"/>
        <v>181.48763339041125</v>
      </c>
      <c r="J55" s="440">
        <f t="shared" si="72"/>
        <v>-54.825370998287781</v>
      </c>
      <c r="K55" s="440">
        <f t="shared" si="72"/>
        <v>-56.470132128236401</v>
      </c>
      <c r="L55" s="440">
        <f t="shared" si="72"/>
        <v>-48.470196743402767</v>
      </c>
      <c r="M55" s="440">
        <f t="shared" si="72"/>
        <v>-49.681951661987569</v>
      </c>
      <c r="N55" s="440">
        <f t="shared" si="72"/>
        <v>-30.554400272122393</v>
      </c>
      <c r="O55" s="438"/>
    </row>
    <row r="56" s="4" customFormat="1" ht="15" customHeight="1" outlineLevel="1">
      <c r="B56" s="225" t="s">
        <v>181</v>
      </c>
      <c r="C56" s="284"/>
      <c r="D56" s="1"/>
      <c r="E56" s="1"/>
      <c r="F56" s="441">
        <v>-260</v>
      </c>
      <c r="G56" s="440">
        <f t="shared" ref="G56:N56" si="73">G142-F142</f>
        <v>181</v>
      </c>
      <c r="H56" s="440">
        <f t="shared" si="73"/>
        <v>114</v>
      </c>
      <c r="I56" s="440">
        <f t="shared" si="73"/>
        <v>-394.9802134246579</v>
      </c>
      <c r="J56" s="440">
        <f t="shared" si="73"/>
        <v>87.720593597260176</v>
      </c>
      <c r="K56" s="440">
        <f t="shared" si="73"/>
        <v>90.352211405178423</v>
      </c>
      <c r="L56" s="440">
        <f t="shared" si="73"/>
        <v>77.552314789444154</v>
      </c>
      <c r="M56" s="440">
        <f t="shared" si="73"/>
        <v>79.491122659180292</v>
      </c>
      <c r="N56" s="440">
        <f t="shared" si="73"/>
        <v>48.887040435396102</v>
      </c>
    </row>
    <row r="57" s="4" customFormat="1" ht="15" customHeight="1" outlineLevel="1">
      <c r="B57" s="284" t="s">
        <v>182</v>
      </c>
      <c r="C57" s="284"/>
      <c r="D57" s="1"/>
      <c r="E57" s="1"/>
      <c r="F57" s="442">
        <f t="shared" ref="F57:M57" si="74">SUM(F51:F56)</f>
        <v>15655.700000000001</v>
      </c>
      <c r="G57" s="442">
        <f t="shared" si="74"/>
        <v>16011.850599999998</v>
      </c>
      <c r="H57" s="442">
        <f t="shared" si="74"/>
        <v>17391.448499999999</v>
      </c>
      <c r="I57" s="442">
        <f t="shared" si="74"/>
        <v>18793.760858465757</v>
      </c>
      <c r="J57" s="442">
        <f t="shared" si="74"/>
        <v>19133.001529987901</v>
      </c>
      <c r="K57" s="442">
        <f t="shared" si="74"/>
        <v>16483.708420828578</v>
      </c>
      <c r="L57" s="442">
        <f t="shared" si="74"/>
        <v>16583.301441027779</v>
      </c>
      <c r="M57" s="442">
        <f t="shared" si="74"/>
        <v>16618.567407339946</v>
      </c>
      <c r="N57" s="442">
        <f>SUM(N51:N56)</f>
        <v>16765.605053674088</v>
      </c>
    </row>
    <row r="58" s="4" customFormat="1" ht="15" customHeight="1" outlineLevel="1">
      <c r="B58" s="67" t="s">
        <v>183</v>
      </c>
      <c r="C58" s="67"/>
      <c r="D58" s="1"/>
      <c r="E58" s="1"/>
      <c r="F58" s="443"/>
      <c r="G58" s="443"/>
      <c r="H58" s="443"/>
      <c r="I58" s="444"/>
      <c r="J58" s="444"/>
      <c r="K58" s="444"/>
      <c r="L58" s="444"/>
      <c r="M58" s="444"/>
      <c r="N58" s="1"/>
    </row>
    <row r="59" s="4" customFormat="1" ht="15" customHeight="1" outlineLevel="1">
      <c r="B59" s="67"/>
      <c r="C59" s="67"/>
      <c r="D59" s="1"/>
      <c r="E59" s="1"/>
      <c r="F59" s="443"/>
      <c r="G59" s="443"/>
      <c r="H59" s="443"/>
      <c r="I59" s="444"/>
      <c r="J59" s="444"/>
      <c r="K59" s="444"/>
      <c r="L59" s="444"/>
      <c r="M59" s="444"/>
      <c r="N59" s="1"/>
    </row>
    <row r="60" s="4" customFormat="1" ht="15" customHeight="1" outlineLevel="1">
      <c r="B60" s="414" t="s">
        <v>184</v>
      </c>
      <c r="C60" s="414"/>
      <c r="D60" s="1"/>
      <c r="E60" s="1"/>
      <c r="F60" s="443"/>
      <c r="G60" s="443"/>
      <c r="H60" s="443"/>
      <c r="I60" s="444"/>
      <c r="J60" s="444"/>
      <c r="K60" s="444"/>
      <c r="L60" s="444"/>
      <c r="M60" s="444"/>
      <c r="N60" s="1"/>
    </row>
    <row r="61" s="4" customFormat="1" ht="15" customHeight="1" outlineLevel="1">
      <c r="B61" s="284" t="s">
        <v>35</v>
      </c>
      <c r="C61" s="284"/>
      <c r="D61" s="1"/>
      <c r="E61" s="1"/>
      <c r="F61" s="440">
        <f t="shared" ref="F61:N61" si="75">F163*-1</f>
        <v>-9014.9999999999909</v>
      </c>
      <c r="G61" s="440">
        <f t="shared" si="75"/>
        <v>-11733</v>
      </c>
      <c r="H61" s="440">
        <f t="shared" si="75"/>
        <v>-11130</v>
      </c>
      <c r="I61" s="440">
        <f t="shared" si="75"/>
        <v>-10000</v>
      </c>
      <c r="J61" s="440">
        <f t="shared" si="75"/>
        <v>-8000</v>
      </c>
      <c r="K61" s="440">
        <f t="shared" si="75"/>
        <v>-9000</v>
      </c>
      <c r="L61" s="440">
        <f t="shared" si="75"/>
        <v>-5000</v>
      </c>
      <c r="M61" s="440">
        <f t="shared" si="75"/>
        <v>-5000</v>
      </c>
      <c r="N61" s="440">
        <f t="shared" si="75"/>
        <v>-6000</v>
      </c>
      <c r="O61" s="438"/>
      <c r="P61" s="23" t="s">
        <v>160</v>
      </c>
    </row>
    <row r="62" s="4" customFormat="1" ht="15" customHeight="1" outlineLevel="1">
      <c r="B62" s="284" t="s">
        <v>182</v>
      </c>
      <c r="C62" s="284"/>
      <c r="D62" s="1"/>
      <c r="E62" s="1"/>
      <c r="F62" s="442">
        <f t="shared" ref="F62:H62" si="76">SUM(F61)</f>
        <v>-9014.9999999999909</v>
      </c>
      <c r="G62" s="442">
        <f t="shared" si="76"/>
        <v>-11733</v>
      </c>
      <c r="H62" s="442">
        <f t="shared" si="76"/>
        <v>-11130</v>
      </c>
      <c r="I62" s="442">
        <f>SUM(I61)</f>
        <v>-10000</v>
      </c>
      <c r="J62" s="442">
        <f t="shared" ref="J62:N62" si="77">SUM(J61)</f>
        <v>-8000</v>
      </c>
      <c r="K62" s="442">
        <f t="shared" si="77"/>
        <v>-9000</v>
      </c>
      <c r="L62" s="442">
        <f t="shared" si="77"/>
        <v>-5000</v>
      </c>
      <c r="M62" s="442">
        <f t="shared" si="77"/>
        <v>-5000</v>
      </c>
      <c r="N62" s="442">
        <f t="shared" si="77"/>
        <v>-6000</v>
      </c>
      <c r="O62" s="438"/>
    </row>
    <row r="63" s="4" customFormat="1" ht="15" customHeight="1" outlineLevel="1">
      <c r="B63" s="67" t="s">
        <v>183</v>
      </c>
      <c r="C63" s="67"/>
      <c r="D63" s="1"/>
      <c r="E63" s="1"/>
      <c r="F63" s="441"/>
      <c r="G63" s="441"/>
      <c r="H63" s="441"/>
      <c r="I63" s="289"/>
      <c r="J63" s="289"/>
      <c r="K63" s="289"/>
      <c r="L63" s="289"/>
      <c r="M63" s="289"/>
      <c r="N63" s="441"/>
      <c r="O63" s="438"/>
    </row>
    <row r="64" s="4" customFormat="1" ht="15" customHeight="1" outlineLevel="1">
      <c r="B64" s="67"/>
      <c r="C64" s="67"/>
      <c r="D64" s="1"/>
      <c r="E64" s="1"/>
      <c r="F64" s="441"/>
      <c r="G64" s="441"/>
      <c r="H64" s="441"/>
      <c r="I64" s="289"/>
      <c r="J64" s="289"/>
      <c r="K64" s="289"/>
      <c r="L64" s="289"/>
      <c r="M64" s="289"/>
      <c r="N64" s="441"/>
      <c r="O64" s="438"/>
    </row>
    <row r="65" s="4" customFormat="1" ht="15" customHeight="1" outlineLevel="1">
      <c r="B65" s="414" t="s">
        <v>185</v>
      </c>
      <c r="C65" s="414"/>
      <c r="D65" s="1"/>
      <c r="E65" s="1"/>
      <c r="F65" s="441"/>
      <c r="G65" s="441"/>
      <c r="H65" s="441"/>
      <c r="I65" s="289"/>
      <c r="J65" s="289"/>
      <c r="K65" s="289"/>
      <c r="L65" s="289"/>
      <c r="M65" s="289"/>
      <c r="N65" s="441"/>
      <c r="O65" s="438"/>
    </row>
    <row r="66" s="4" customFormat="1" ht="15" customHeight="1" outlineLevel="1">
      <c r="B66" s="284" t="s">
        <v>186</v>
      </c>
      <c r="C66" s="284"/>
      <c r="D66" s="1"/>
      <c r="E66" s="1"/>
      <c r="F66" s="441">
        <v>0</v>
      </c>
      <c r="G66" s="441">
        <v>-4000</v>
      </c>
      <c r="H66" s="441">
        <v>-4000</v>
      </c>
      <c r="I66" s="440">
        <f>Inputs!G41</f>
        <v>-3000</v>
      </c>
      <c r="J66" s="440">
        <f>Inputs!H41</f>
        <v>-3000</v>
      </c>
      <c r="K66" s="440">
        <f>Inputs!I41</f>
        <v>-2000</v>
      </c>
      <c r="L66" s="440">
        <f>Inputs!J41</f>
        <v>-3000</v>
      </c>
      <c r="M66" s="440">
        <f>Inputs!K41</f>
        <v>-3000</v>
      </c>
      <c r="N66" s="440">
        <f>Inputs!L41</f>
        <v>-2000</v>
      </c>
      <c r="O66" s="438"/>
    </row>
    <row r="67" ht="15" customHeight="1" outlineLevel="1">
      <c r="A67" s="4"/>
      <c r="B67" s="284" t="s">
        <v>187</v>
      </c>
      <c r="C67" s="284"/>
      <c r="F67" s="441">
        <v>0</v>
      </c>
      <c r="G67" s="441">
        <v>0</v>
      </c>
      <c r="H67" s="441">
        <v>0</v>
      </c>
      <c r="I67" s="440">
        <f>I287</f>
        <v>0</v>
      </c>
      <c r="J67" s="440">
        <f t="shared" ref="J67:N67" si="78">J287</f>
        <v>0</v>
      </c>
      <c r="K67" s="440">
        <f t="shared" si="78"/>
        <v>0</v>
      </c>
      <c r="L67" s="440">
        <f t="shared" si="78"/>
        <v>0</v>
      </c>
      <c r="M67" s="440">
        <f t="shared" si="78"/>
        <v>0</v>
      </c>
      <c r="N67" s="440">
        <f t="shared" si="78"/>
        <v>0</v>
      </c>
      <c r="O67" s="438"/>
      <c r="P67" s="59"/>
    </row>
    <row r="68" s="4" customFormat="1" ht="15" customHeight="1" outlineLevel="1">
      <c r="B68" s="284" t="s">
        <v>188</v>
      </c>
      <c r="C68" s="284"/>
      <c r="D68" s="1"/>
      <c r="E68" s="1"/>
      <c r="F68" s="441">
        <v>0</v>
      </c>
      <c r="G68" s="441">
        <v>0</v>
      </c>
      <c r="H68" s="441">
        <v>0</v>
      </c>
      <c r="I68" s="440">
        <f>Inputs!G42</f>
        <v>-1000</v>
      </c>
      <c r="J68" s="440">
        <f>Inputs!H42</f>
        <v>-1000</v>
      </c>
      <c r="K68" s="440">
        <f>Inputs!I42</f>
        <v>-1000</v>
      </c>
      <c r="L68" s="440">
        <f>Inputs!J42</f>
        <v>-1000</v>
      </c>
      <c r="M68" s="440">
        <f>Inputs!K42</f>
        <v>-1000</v>
      </c>
      <c r="N68" s="440">
        <f>Inputs!L42</f>
        <v>-1000</v>
      </c>
      <c r="O68" s="438"/>
    </row>
    <row r="69" s="4" customFormat="1" ht="15" customHeight="1" outlineLevel="1">
      <c r="B69" s="284" t="s">
        <v>189</v>
      </c>
      <c r="C69" s="284"/>
      <c r="D69" s="1"/>
      <c r="E69" s="1"/>
      <c r="F69" s="441">
        <v>-3465</v>
      </c>
      <c r="G69" s="441">
        <v>-3761</v>
      </c>
      <c r="H69" s="441">
        <v>-3216</v>
      </c>
      <c r="I69" s="440">
        <f>I317*-1</f>
        <v>-2137.0811157749999</v>
      </c>
      <c r="J69" s="440">
        <f t="shared" ref="J69:N69" si="79">J317*-1</f>
        <v>-2108.5678244027872</v>
      </c>
      <c r="K69" s="440">
        <f t="shared" si="79"/>
        <v>-2081.4350043803274</v>
      </c>
      <c r="L69" s="440">
        <f t="shared" si="79"/>
        <v>-2044.871980533647</v>
      </c>
      <c r="M69" s="440">
        <f t="shared" si="79"/>
        <v>-2030.9627875339729</v>
      </c>
      <c r="N69" s="440">
        <f t="shared" si="79"/>
        <v>-2021.501736624421</v>
      </c>
      <c r="O69" s="438"/>
    </row>
    <row r="70" s="4" customFormat="1" ht="15" customHeight="1" outlineLevel="1">
      <c r="B70" s="284" t="s">
        <v>182</v>
      </c>
      <c r="C70" s="284"/>
      <c r="D70" s="1"/>
      <c r="E70" s="1"/>
      <c r="F70" s="442">
        <f t="shared" ref="F70:N70" si="80">SUM(F66:F69)</f>
        <v>-3465</v>
      </c>
      <c r="G70" s="442">
        <f t="shared" si="80"/>
        <v>-7761</v>
      </c>
      <c r="H70" s="442">
        <f t="shared" si="80"/>
        <v>-7216</v>
      </c>
      <c r="I70" s="442">
        <f t="shared" si="80"/>
        <v>-6137.0811157749995</v>
      </c>
      <c r="J70" s="442">
        <f t="shared" si="80"/>
        <v>-6108.5678244027877</v>
      </c>
      <c r="K70" s="442">
        <f t="shared" si="80"/>
        <v>-5081.4350043803279</v>
      </c>
      <c r="L70" s="442">
        <f t="shared" si="80"/>
        <v>-6044.8719805336468</v>
      </c>
      <c r="M70" s="442">
        <f t="shared" si="80"/>
        <v>-6030.9627875339729</v>
      </c>
      <c r="N70" s="442">
        <f t="shared" si="80"/>
        <v>-5021.501736624421</v>
      </c>
      <c r="O70" s="438"/>
    </row>
    <row r="71" s="4" customFormat="1" ht="15" customHeight="1" outlineLevel="1">
      <c r="B71" s="67" t="s">
        <v>183</v>
      </c>
      <c r="C71" s="67"/>
      <c r="D71" s="1"/>
      <c r="E71" s="1"/>
      <c r="F71" s="441"/>
      <c r="G71" s="441"/>
      <c r="H71" s="441"/>
      <c r="I71" s="445"/>
      <c r="J71" s="445"/>
      <c r="K71" s="289"/>
      <c r="L71" s="289"/>
      <c r="M71" s="289"/>
      <c r="N71" s="441"/>
      <c r="O71" s="438"/>
    </row>
    <row r="72" s="4" customFormat="1" ht="15" customHeight="1" outlineLevel="1">
      <c r="B72" s="67"/>
      <c r="C72" s="67"/>
      <c r="D72" s="1"/>
      <c r="E72" s="1"/>
      <c r="F72" s="441"/>
      <c r="G72" s="441"/>
      <c r="H72" s="441"/>
      <c r="I72" s="445"/>
      <c r="J72" s="445"/>
      <c r="K72" s="289"/>
      <c r="L72" s="289"/>
      <c r="M72" s="289"/>
      <c r="N72" s="441"/>
      <c r="O72" s="438"/>
    </row>
    <row r="73" s="4" customFormat="1" ht="15" customHeight="1" outlineLevel="1">
      <c r="B73" s="414" t="s">
        <v>190</v>
      </c>
      <c r="C73" s="414"/>
      <c r="D73" s="1"/>
      <c r="E73" s="1"/>
      <c r="F73" s="441"/>
      <c r="G73" s="441"/>
      <c r="H73" s="441"/>
      <c r="I73" s="289"/>
      <c r="J73" s="289"/>
      <c r="K73" s="289"/>
      <c r="L73" s="289"/>
      <c r="M73" s="289"/>
      <c r="N73" s="441"/>
      <c r="O73" s="438"/>
    </row>
    <row r="74" s="4" customFormat="1" ht="15" customHeight="1" outlineLevel="1">
      <c r="B74" s="284" t="s">
        <v>191</v>
      </c>
      <c r="C74" s="284"/>
      <c r="D74" s="1"/>
      <c r="E74" s="1"/>
      <c r="F74" s="441">
        <v>9671</v>
      </c>
      <c r="G74" s="440">
        <f>F76</f>
        <v>12846.70000000001</v>
      </c>
      <c r="H74" s="440">
        <f>G76</f>
        <v>9364.5506000000078</v>
      </c>
      <c r="I74" s="440">
        <f>H76</f>
        <v>8409.9991000000064</v>
      </c>
      <c r="J74" s="440">
        <f>I76</f>
        <v>11066.678842690764</v>
      </c>
      <c r="K74" s="440">
        <f>J76</f>
        <v>16091.112548275878</v>
      </c>
      <c r="L74" s="440">
        <f t="shared" ref="L74:N74" si="81">K76</f>
        <v>18493.385964724126</v>
      </c>
      <c r="M74" s="440">
        <f t="shared" si="81"/>
        <v>24031.815425218258</v>
      </c>
      <c r="N74" s="440">
        <f t="shared" si="81"/>
        <v>29619.420045024232</v>
      </c>
      <c r="O74" s="438"/>
    </row>
    <row r="75" s="4" customFormat="1" ht="15" customHeight="1" outlineLevel="1">
      <c r="B75" s="284" t="s">
        <v>45</v>
      </c>
      <c r="C75" s="284"/>
      <c r="D75" s="1"/>
      <c r="E75" s="1"/>
      <c r="F75" s="440">
        <f t="shared" ref="F75:N75" si="82">F57+F62+F70</f>
        <v>3175.7000000000098</v>
      </c>
      <c r="G75" s="440">
        <f t="shared" si="82"/>
        <v>-3482.1494000000021</v>
      </c>
      <c r="H75" s="440">
        <f t="shared" si="82"/>
        <v>-954.5515000000014</v>
      </c>
      <c r="I75" s="440">
        <f t="shared" si="82"/>
        <v>2656.6797426907578</v>
      </c>
      <c r="J75" s="440">
        <f t="shared" si="82"/>
        <v>5024.4337055851138</v>
      </c>
      <c r="K75" s="440">
        <f t="shared" si="82"/>
        <v>2402.2734164482499</v>
      </c>
      <c r="L75" s="440">
        <f t="shared" si="82"/>
        <v>5538.4294604941324</v>
      </c>
      <c r="M75" s="440">
        <f t="shared" si="82"/>
        <v>5587.604619805973</v>
      </c>
      <c r="N75" s="440">
        <f t="shared" si="82"/>
        <v>5744.1033170496667</v>
      </c>
      <c r="O75" s="438"/>
    </row>
    <row r="76" s="23" customFormat="1" ht="15" customHeight="1" outlineLevel="1">
      <c r="B76" s="284" t="s">
        <v>192</v>
      </c>
      <c r="C76" s="284"/>
      <c r="D76" s="1"/>
      <c r="E76" s="1"/>
      <c r="F76" s="446">
        <f>SUM(F74:F75)</f>
        <v>12846.70000000001</v>
      </c>
      <c r="G76" s="446">
        <f t="shared" ref="G76:M76" si="83">SUM(G74:G75)</f>
        <v>9364.5506000000078</v>
      </c>
      <c r="H76" s="446">
        <f t="shared" si="83"/>
        <v>8409.9991000000064</v>
      </c>
      <c r="I76" s="446">
        <f t="shared" si="83"/>
        <v>11066.678842690764</v>
      </c>
      <c r="J76" s="446">
        <f t="shared" si="83"/>
        <v>16091.112548275878</v>
      </c>
      <c r="K76" s="446">
        <f t="shared" si="83"/>
        <v>18493.385964724126</v>
      </c>
      <c r="L76" s="446">
        <f t="shared" si="83"/>
        <v>24031.815425218258</v>
      </c>
      <c r="M76" s="446">
        <f t="shared" si="83"/>
        <v>29619.420045024232</v>
      </c>
      <c r="N76" s="446">
        <f>SUM(N74:N75)</f>
        <v>35363.523362073902</v>
      </c>
      <c r="O76" s="59"/>
    </row>
    <row r="77" s="4" customFormat="1" ht="15" customHeight="1" outlineLevel="1">
      <c r="B77" s="73"/>
      <c r="C77" s="12"/>
      <c r="D77" s="14"/>
      <c r="E77" s="14"/>
      <c r="F77" s="233"/>
      <c r="G77" s="233"/>
      <c r="H77" s="233"/>
      <c r="I77" s="233"/>
      <c r="J77" s="233"/>
      <c r="K77" s="233"/>
      <c r="L77" s="233"/>
      <c r="M77" s="233"/>
      <c r="N77" s="1"/>
      <c r="O77" s="438"/>
    </row>
    <row r="78" s="4" customFormat="1" ht="15" customHeight="1" outlineLevel="1">
      <c r="B78" s="431"/>
      <c r="C78" s="431"/>
      <c r="D78" s="432"/>
      <c r="E78" s="432"/>
      <c r="F78" s="433"/>
      <c r="G78" s="433"/>
      <c r="H78" s="433"/>
      <c r="I78" s="433"/>
      <c r="J78" s="433"/>
      <c r="K78" s="433"/>
      <c r="L78" s="433"/>
      <c r="M78" s="433"/>
      <c r="N78" s="433"/>
      <c r="O78" s="433"/>
    </row>
    <row r="79" s="4" customFormat="1" ht="15" customHeight="1">
      <c r="B79" s="73"/>
      <c r="C79" s="67"/>
      <c r="D79" s="399"/>
      <c r="E79" s="67"/>
      <c r="F79" s="289"/>
      <c r="G79" s="289"/>
      <c r="H79" s="289"/>
      <c r="I79" s="289"/>
      <c r="J79" s="289"/>
      <c r="K79" s="289"/>
      <c r="L79" s="289"/>
      <c r="M79" s="289"/>
      <c r="N79" s="289"/>
      <c r="O79" s="289"/>
    </row>
    <row r="80" s="23" customFormat="1" ht="15" customHeight="1">
      <c r="A80" s="23" t="s">
        <v>0</v>
      </c>
      <c r="B80" s="434" t="s">
        <v>193</v>
      </c>
      <c r="C80" s="435"/>
      <c r="D80" s="436"/>
      <c r="E80" s="436"/>
      <c r="F80" s="437"/>
      <c r="G80" s="437"/>
      <c r="H80" s="437"/>
      <c r="I80" s="437"/>
      <c r="J80" s="437"/>
      <c r="K80" s="437"/>
      <c r="L80" s="437"/>
      <c r="M80" s="437"/>
      <c r="N80" s="437"/>
      <c r="O80" s="437"/>
    </row>
    <row r="81" s="23" customFormat="1" ht="15" customHeight="1" outlineLevel="1">
      <c r="B81" s="176"/>
      <c r="C81" s="12"/>
      <c r="D81" s="13"/>
      <c r="E81" s="13"/>
      <c r="F81" s="10"/>
      <c r="G81" s="10"/>
      <c r="H81" s="10"/>
      <c r="I81" s="10"/>
      <c r="J81" s="10"/>
      <c r="K81" s="10"/>
      <c r="L81" s="10"/>
      <c r="M81" s="10"/>
    </row>
    <row r="82" s="23" customFormat="1" ht="15" customHeight="1" outlineLevel="1">
      <c r="B82" s="11" t="s">
        <v>3</v>
      </c>
      <c r="C82" s="12"/>
      <c r="D82" s="14"/>
      <c r="E82" s="14"/>
      <c r="F82" s="388">
        <f t="shared" ref="F82:N82" si="84">F$3</f>
        <v>2020</v>
      </c>
      <c r="G82" s="388">
        <f t="shared" si="84"/>
        <v>2021</v>
      </c>
      <c r="H82" s="388">
        <f t="shared" si="84"/>
        <v>2022</v>
      </c>
      <c r="I82" s="389">
        <f t="shared" si="84"/>
        <v>2023</v>
      </c>
      <c r="J82" s="389">
        <f t="shared" si="84"/>
        <v>2024</v>
      </c>
      <c r="K82" s="389">
        <f t="shared" si="84"/>
        <v>2025</v>
      </c>
      <c r="L82" s="389">
        <f t="shared" si="84"/>
        <v>2026</v>
      </c>
      <c r="M82" s="389">
        <f t="shared" si="84"/>
        <v>2027</v>
      </c>
      <c r="N82" s="177" t="str">
        <f t="shared" si="84"/>
        <v>Term</v>
      </c>
    </row>
    <row r="83" ht="15" customHeight="1" outlineLevel="1">
      <c r="A83" s="4"/>
      <c r="B83" s="11"/>
      <c r="C83" s="12"/>
      <c r="D83" s="14"/>
      <c r="E83" s="14"/>
      <c r="F83" s="14"/>
      <c r="G83" s="14"/>
      <c r="H83" s="14"/>
      <c r="I83" s="16"/>
      <c r="J83" s="16"/>
      <c r="K83" s="16"/>
      <c r="L83" s="16"/>
      <c r="M83" s="16"/>
    </row>
    <row r="84" s="23" customFormat="1" ht="15" customHeight="1" outlineLevel="1">
      <c r="B84" s="11"/>
      <c r="C84" s="12"/>
      <c r="D84" s="14"/>
      <c r="E84" s="14"/>
      <c r="F84" s="14"/>
      <c r="G84" s="14"/>
      <c r="H84" s="14"/>
      <c r="I84" s="16"/>
      <c r="J84" s="16"/>
      <c r="K84" s="16"/>
      <c r="L84" s="16"/>
      <c r="M84" s="16"/>
      <c r="N84" s="1"/>
    </row>
    <row r="85" s="23" customFormat="1" ht="15" customHeight="1" outlineLevel="1">
      <c r="B85" s="414" t="s">
        <v>194</v>
      </c>
      <c r="C85" s="414"/>
      <c r="D85" s="1"/>
      <c r="E85" s="1"/>
      <c r="F85" s="447"/>
      <c r="G85" s="447"/>
      <c r="H85" s="447"/>
      <c r="I85" s="289"/>
      <c r="J85" s="289"/>
      <c r="K85" s="289"/>
      <c r="L85" s="289"/>
      <c r="M85" s="289"/>
      <c r="N85" s="1"/>
    </row>
    <row r="86" s="23" customFormat="1" ht="15" customHeight="1" outlineLevel="1">
      <c r="B86" s="414"/>
      <c r="C86" s="414"/>
      <c r="D86" s="1"/>
      <c r="E86" s="1"/>
      <c r="F86" s="447"/>
      <c r="G86" s="447"/>
      <c r="H86" s="447"/>
      <c r="I86" s="289"/>
      <c r="J86" s="289"/>
      <c r="K86" s="289"/>
      <c r="L86" s="289"/>
      <c r="M86" s="289"/>
      <c r="N86" s="1"/>
    </row>
    <row r="87" s="23" customFormat="1" ht="15" customHeight="1" outlineLevel="1">
      <c r="B87" s="284" t="s">
        <v>195</v>
      </c>
      <c r="C87" s="284"/>
      <c r="D87" s="1"/>
      <c r="E87" s="1"/>
      <c r="F87" s="411">
        <f t="shared" ref="F87:N87" si="85">F76</f>
        <v>12846.70000000001</v>
      </c>
      <c r="G87" s="411">
        <f t="shared" si="85"/>
        <v>9364.5506000000078</v>
      </c>
      <c r="H87" s="411">
        <f t="shared" si="85"/>
        <v>8409.9991000000064</v>
      </c>
      <c r="I87" s="411">
        <f t="shared" si="85"/>
        <v>11066.678842690764</v>
      </c>
      <c r="J87" s="411">
        <f t="shared" si="85"/>
        <v>16091.112548275878</v>
      </c>
      <c r="K87" s="411">
        <f t="shared" si="85"/>
        <v>18493.385964724126</v>
      </c>
      <c r="L87" s="411">
        <f t="shared" si="85"/>
        <v>24031.815425218258</v>
      </c>
      <c r="M87" s="411">
        <f t="shared" si="85"/>
        <v>29619.420045024232</v>
      </c>
      <c r="N87" s="411">
        <f t="shared" si="85"/>
        <v>35363.523362073902</v>
      </c>
      <c r="P87" s="23" t="s">
        <v>160</v>
      </c>
    </row>
    <row r="88" s="23" customFormat="1" ht="15" customHeight="1" outlineLevel="1">
      <c r="B88" s="284" t="s">
        <v>38</v>
      </c>
      <c r="C88" s="284"/>
      <c r="D88" s="1"/>
      <c r="E88" s="1"/>
      <c r="F88" s="411">
        <f t="shared" ref="F88:F89" si="86">F140</f>
        <v>5708</v>
      </c>
      <c r="G88" s="411">
        <f t="shared" ref="G88:N89" si="87">G140</f>
        <v>6333</v>
      </c>
      <c r="H88" s="411">
        <f t="shared" si="87"/>
        <v>6624</v>
      </c>
      <c r="I88" s="411">
        <f t="shared" si="87"/>
        <v>6826.8914999999997</v>
      </c>
      <c r="J88" s="411">
        <f t="shared" si="87"/>
        <v>6963.4293299999999</v>
      </c>
      <c r="K88" s="411">
        <f t="shared" si="87"/>
        <v>7102.6979166000001</v>
      </c>
      <c r="L88" s="411">
        <f t="shared" si="87"/>
        <v>7209.2383853489991</v>
      </c>
      <c r="M88" s="411">
        <f t="shared" si="87"/>
        <v>7317.3769611292337</v>
      </c>
      <c r="N88" s="411">
        <f t="shared" si="87"/>
        <v>7390.550730740526</v>
      </c>
      <c r="P88" s="23" t="s">
        <v>160</v>
      </c>
    </row>
    <row r="89" s="23" customFormat="1" ht="15" customHeight="1" outlineLevel="1">
      <c r="B89" s="284" t="s">
        <v>196</v>
      </c>
      <c r="C89" s="284"/>
      <c r="D89" s="1"/>
      <c r="E89" s="1"/>
      <c r="F89" s="413">
        <f t="shared" si="86"/>
        <v>1792</v>
      </c>
      <c r="G89" s="413">
        <f t="shared" si="87"/>
        <v>1923</v>
      </c>
      <c r="H89" s="413">
        <f t="shared" si="87"/>
        <v>2009</v>
      </c>
      <c r="I89" s="413">
        <f t="shared" si="87"/>
        <v>1827.5123666095888</v>
      </c>
      <c r="J89" s="413">
        <f t="shared" si="87"/>
        <v>1882.3377376078765</v>
      </c>
      <c r="K89" s="413">
        <f t="shared" si="87"/>
        <v>1938.8078697361129</v>
      </c>
      <c r="L89" s="413">
        <f t="shared" si="87"/>
        <v>1987.2780664795157</v>
      </c>
      <c r="M89" s="413">
        <f t="shared" si="87"/>
        <v>2036.9600181415033</v>
      </c>
      <c r="N89" s="413">
        <f t="shared" si="87"/>
        <v>2067.5144184136257</v>
      </c>
      <c r="P89" s="23" t="s">
        <v>160</v>
      </c>
    </row>
    <row r="90" s="23" customFormat="1" ht="15" customHeight="1" outlineLevel="1">
      <c r="B90" s="284" t="s">
        <v>197</v>
      </c>
      <c r="C90" s="284"/>
      <c r="D90" s="1"/>
      <c r="E90" s="1"/>
      <c r="F90" s="411">
        <f t="shared" ref="F90:H90" si="88">SUM(F87:F89)</f>
        <v>20346.700000000012</v>
      </c>
      <c r="G90" s="411">
        <f t="shared" si="88"/>
        <v>17620.55060000001</v>
      </c>
      <c r="H90" s="411">
        <f t="shared" si="88"/>
        <v>17042.999100000008</v>
      </c>
      <c r="I90" s="411">
        <f>SUM(I87:I89)</f>
        <v>19721.082709300354</v>
      </c>
      <c r="J90" s="411">
        <f t="shared" ref="J90:N90" si="89">SUM(J87:J89)</f>
        <v>24936.879615883754</v>
      </c>
      <c r="K90" s="411">
        <f t="shared" si="89"/>
        <v>27534.89175106024</v>
      </c>
      <c r="L90" s="411">
        <f t="shared" si="89"/>
        <v>33228.331877046774</v>
      </c>
      <c r="M90" s="411">
        <f t="shared" si="89"/>
        <v>38973.757024294966</v>
      </c>
      <c r="N90" s="411">
        <f t="shared" si="89"/>
        <v>44821.588511228052</v>
      </c>
      <c r="O90" s="448"/>
      <c r="P90" s="23" t="s">
        <v>160</v>
      </c>
    </row>
    <row r="91" s="23" customFormat="1" ht="15" customHeight="1" outlineLevel="1">
      <c r="B91" s="180"/>
      <c r="C91" s="180"/>
      <c r="D91" s="1"/>
      <c r="E91" s="1"/>
      <c r="F91" s="449"/>
      <c r="G91" s="449"/>
      <c r="H91" s="449"/>
      <c r="I91" s="438"/>
      <c r="J91" s="438"/>
      <c r="K91" s="438"/>
      <c r="L91" s="438"/>
      <c r="M91" s="438"/>
      <c r="N91" s="449"/>
    </row>
    <row r="92" s="23" customFormat="1" ht="15" customHeight="1" outlineLevel="1">
      <c r="B92" s="284" t="s">
        <v>119</v>
      </c>
      <c r="C92" s="284"/>
      <c r="D92" s="1"/>
      <c r="E92" s="1"/>
      <c r="F92" s="449">
        <v>59192</v>
      </c>
      <c r="G92" s="449">
        <v>67729</v>
      </c>
      <c r="H92" s="450">
        <f>Inputs!L103</f>
        <v>75407</v>
      </c>
      <c r="I92" s="450">
        <f>I220</f>
        <v>80444.0625</v>
      </c>
      <c r="J92" s="450">
        <f t="shared" ref="J92:N92" si="90">J220</f>
        <v>83031.125</v>
      </c>
      <c r="K92" s="450">
        <f t="shared" si="90"/>
        <v>86193.1875</v>
      </c>
      <c r="L92" s="450">
        <f t="shared" si="90"/>
        <v>85005.25</v>
      </c>
      <c r="M92" s="450">
        <f t="shared" si="90"/>
        <v>83567.3125</v>
      </c>
      <c r="N92" s="450">
        <f t="shared" si="90"/>
        <v>82854.375</v>
      </c>
      <c r="P92" s="23" t="s">
        <v>160</v>
      </c>
    </row>
    <row r="93" s="23" customFormat="1" ht="15" customHeight="1" outlineLevel="1">
      <c r="B93" s="284"/>
      <c r="C93" s="284"/>
      <c r="D93" s="445"/>
      <c r="E93" s="1"/>
      <c r="F93" s="449"/>
      <c r="G93" s="449"/>
      <c r="H93" s="449"/>
      <c r="I93" s="438"/>
      <c r="J93" s="438"/>
      <c r="K93" s="438"/>
      <c r="L93" s="438"/>
      <c r="M93" s="438"/>
      <c r="N93" s="449"/>
    </row>
    <row r="94" s="23" customFormat="1" ht="15" customHeight="1" outlineLevel="1">
      <c r="B94" s="284"/>
      <c r="C94" s="284"/>
      <c r="D94" s="445"/>
      <c r="E94" s="1"/>
      <c r="F94" s="449"/>
      <c r="G94" s="449"/>
      <c r="H94" s="449"/>
      <c r="I94" s="438"/>
      <c r="J94" s="438"/>
      <c r="K94" s="438"/>
      <c r="L94" s="438"/>
      <c r="M94" s="438"/>
      <c r="N94" s="449"/>
    </row>
    <row r="95" s="23" customFormat="1" ht="15" customHeight="1" outlineLevel="1">
      <c r="B95" s="284" t="s">
        <v>198</v>
      </c>
      <c r="C95" s="180"/>
      <c r="D95" s="1"/>
      <c r="E95" s="1"/>
      <c r="F95" s="451">
        <f t="shared" ref="F95:H95" si="91">SUM(F90:F92)</f>
        <v>79538.700000000012</v>
      </c>
      <c r="G95" s="451">
        <f t="shared" si="91"/>
        <v>85349.550600000017</v>
      </c>
      <c r="H95" s="451">
        <f t="shared" si="91"/>
        <v>92449.999100000015</v>
      </c>
      <c r="I95" s="451">
        <f>SUM(I90:I92)</f>
        <v>100165.14520930036</v>
      </c>
      <c r="J95" s="451">
        <f t="shared" ref="J95:N95" si="92">SUM(J90:J92)</f>
        <v>107968.00461588375</v>
      </c>
      <c r="K95" s="451">
        <f t="shared" si="92"/>
        <v>113728.07925106023</v>
      </c>
      <c r="L95" s="451">
        <f t="shared" si="92"/>
        <v>118233.58187704677</v>
      </c>
      <c r="M95" s="451">
        <f t="shared" si="92"/>
        <v>122541.06952429496</v>
      </c>
      <c r="N95" s="451">
        <f t="shared" si="92"/>
        <v>127675.96351122805</v>
      </c>
      <c r="P95" s="23" t="s">
        <v>160</v>
      </c>
    </row>
    <row r="96" s="23" customFormat="1" ht="15" customHeight="1" outlineLevel="1">
      <c r="B96" s="67"/>
      <c r="C96" s="67"/>
      <c r="D96" s="1"/>
      <c r="E96" s="1"/>
      <c r="F96" s="449"/>
      <c r="G96" s="449"/>
      <c r="H96" s="449"/>
      <c r="I96" s="438"/>
      <c r="J96" s="438"/>
      <c r="K96" s="438"/>
      <c r="L96" s="438"/>
      <c r="M96" s="438"/>
      <c r="N96" s="449"/>
    </row>
    <row r="97" s="23" customFormat="1" ht="15" customHeight="1" outlineLevel="1">
      <c r="B97" s="414"/>
      <c r="C97" s="414"/>
      <c r="D97" s="1"/>
      <c r="E97" s="1"/>
      <c r="F97" s="449"/>
      <c r="G97" s="449"/>
      <c r="H97" s="449"/>
      <c r="I97" s="438"/>
      <c r="J97" s="438"/>
      <c r="K97" s="438"/>
      <c r="L97" s="438"/>
      <c r="M97" s="438"/>
      <c r="N97" s="449"/>
    </row>
    <row r="98" s="23" customFormat="1" ht="15" customHeight="1" outlineLevel="1">
      <c r="B98" s="414" t="s">
        <v>199</v>
      </c>
      <c r="C98" s="414"/>
      <c r="D98" s="1"/>
      <c r="E98" s="1"/>
      <c r="F98" s="449"/>
      <c r="G98" s="449"/>
      <c r="H98" s="449"/>
      <c r="I98" s="438"/>
      <c r="J98" s="438"/>
      <c r="K98" s="438"/>
      <c r="L98" s="438"/>
      <c r="M98" s="438"/>
      <c r="N98" s="449"/>
      <c r="O98" s="452"/>
    </row>
    <row r="99" s="23" customFormat="1" ht="15" customHeight="1" outlineLevel="1">
      <c r="B99" s="414"/>
      <c r="C99" s="414"/>
      <c r="D99" s="1"/>
      <c r="E99" s="1"/>
      <c r="F99" s="449"/>
      <c r="G99" s="449"/>
      <c r="H99" s="449"/>
      <c r="I99" s="438"/>
      <c r="J99" s="438"/>
      <c r="K99" s="438"/>
      <c r="L99" s="438"/>
      <c r="M99" s="438"/>
      <c r="N99" s="449"/>
    </row>
    <row r="100" s="23" customFormat="1" ht="15" customHeight="1" outlineLevel="1">
      <c r="B100" s="284" t="s">
        <v>41</v>
      </c>
      <c r="C100" s="284"/>
      <c r="D100" s="1"/>
      <c r="E100" s="1"/>
      <c r="F100" s="450">
        <f>F142</f>
        <v>3024</v>
      </c>
      <c r="G100" s="450">
        <f t="shared" ref="G100:N100" si="93">G142</f>
        <v>3205</v>
      </c>
      <c r="H100" s="450">
        <f t="shared" si="93"/>
        <v>3319</v>
      </c>
      <c r="I100" s="450">
        <f t="shared" si="93"/>
        <v>2924.0197865753421</v>
      </c>
      <c r="J100" s="450">
        <f t="shared" si="93"/>
        <v>3011.7403801726023</v>
      </c>
      <c r="K100" s="450">
        <f t="shared" si="93"/>
        <v>3102.0925915777807</v>
      </c>
      <c r="L100" s="450">
        <f t="shared" si="93"/>
        <v>3179.6449063672248</v>
      </c>
      <c r="M100" s="450">
        <f t="shared" si="93"/>
        <v>3259.1360290264051</v>
      </c>
      <c r="N100" s="450">
        <f t="shared" si="93"/>
        <v>3308.0230694618012</v>
      </c>
      <c r="P100" s="23" t="s">
        <v>160</v>
      </c>
    </row>
    <row r="101" s="23" customFormat="1" ht="15" customHeight="1" outlineLevel="1">
      <c r="B101" s="284" t="s">
        <v>143</v>
      </c>
      <c r="C101" s="284"/>
      <c r="D101" s="441"/>
      <c r="E101" s="1"/>
      <c r="F101" s="410">
        <v>0</v>
      </c>
      <c r="G101" s="410">
        <v>0</v>
      </c>
      <c r="H101" s="410">
        <v>0</v>
      </c>
      <c r="I101" s="453">
        <f>I288</f>
        <v>0</v>
      </c>
      <c r="J101" s="453">
        <f t="shared" ref="J101:N101" si="94">J288</f>
        <v>0</v>
      </c>
      <c r="K101" s="453">
        <f t="shared" si="94"/>
        <v>0</v>
      </c>
      <c r="L101" s="453">
        <f t="shared" si="94"/>
        <v>0</v>
      </c>
      <c r="M101" s="453">
        <f t="shared" si="94"/>
        <v>0</v>
      </c>
      <c r="N101" s="453">
        <f t="shared" si="94"/>
        <v>0</v>
      </c>
    </row>
    <row r="102" s="23" customFormat="1" ht="15" customHeight="1" outlineLevel="1">
      <c r="B102" s="284" t="s">
        <v>200</v>
      </c>
      <c r="C102" s="284"/>
      <c r="D102" s="1"/>
      <c r="E102" s="1"/>
      <c r="F102" s="454">
        <f t="shared" ref="F102:M102" si="95">SUM(F100:F101)</f>
        <v>3024</v>
      </c>
      <c r="G102" s="454">
        <f t="shared" si="95"/>
        <v>3205</v>
      </c>
      <c r="H102" s="454">
        <f t="shared" si="95"/>
        <v>3319</v>
      </c>
      <c r="I102" s="454">
        <f t="shared" si="95"/>
        <v>2924.0197865753421</v>
      </c>
      <c r="J102" s="454">
        <f t="shared" si="95"/>
        <v>3011.7403801726023</v>
      </c>
      <c r="K102" s="454">
        <f t="shared" si="95"/>
        <v>3102.0925915777807</v>
      </c>
      <c r="L102" s="454">
        <f t="shared" si="95"/>
        <v>3179.6449063672248</v>
      </c>
      <c r="M102" s="454">
        <f t="shared" si="95"/>
        <v>3259.1360290264051</v>
      </c>
      <c r="N102" s="454">
        <f>SUM(N100:N101)</f>
        <v>3308.0230694618012</v>
      </c>
      <c r="P102" s="23" t="s">
        <v>160</v>
      </c>
    </row>
    <row r="103" s="23" customFormat="1" ht="15" customHeight="1" outlineLevel="1">
      <c r="B103" s="180"/>
      <c r="C103" s="180"/>
      <c r="D103" s="1"/>
      <c r="E103" s="1"/>
      <c r="F103" s="449"/>
      <c r="G103" s="449"/>
      <c r="H103" s="449"/>
      <c r="I103" s="438"/>
      <c r="J103" s="438"/>
      <c r="K103" s="438"/>
      <c r="L103" s="438"/>
      <c r="M103" s="438"/>
      <c r="N103" s="449"/>
    </row>
    <row r="104" ht="15" customHeight="1" outlineLevel="1">
      <c r="A104" s="4"/>
      <c r="B104" s="284" t="s">
        <v>178</v>
      </c>
      <c r="C104" s="284"/>
      <c r="F104" s="449">
        <v>4155</v>
      </c>
      <c r="G104" s="449">
        <v>7016</v>
      </c>
      <c r="H104" s="449">
        <v>10028</v>
      </c>
      <c r="I104" s="450">
        <f>H104+I52</f>
        <v>13589.801859625</v>
      </c>
      <c r="J104" s="450">
        <f t="shared" ref="J104:N104" si="96">I104+J52</f>
        <v>16870.669375000001</v>
      </c>
      <c r="K104" s="450">
        <f t="shared" si="96"/>
        <v>17214.651781250002</v>
      </c>
      <c r="L104" s="450">
        <f t="shared" si="96"/>
        <v>17463.114170312503</v>
      </c>
      <c r="M104" s="450">
        <f t="shared" si="96"/>
        <v>17567.259544765628</v>
      </c>
      <c r="N104" s="450">
        <f t="shared" si="96"/>
        <v>17567.259544765628</v>
      </c>
      <c r="O104" s="455">
        <f>'[1]Model-R'!R104</f>
        <v>0</v>
      </c>
      <c r="P104" s="456"/>
    </row>
    <row r="105" s="23" customFormat="1" ht="15" customHeight="1" outlineLevel="1">
      <c r="B105" s="284" t="s">
        <v>201</v>
      </c>
      <c r="C105" s="284"/>
      <c r="D105" s="1"/>
      <c r="E105" s="1"/>
      <c r="F105" s="449">
        <v>28000</v>
      </c>
      <c r="G105" s="449">
        <v>24000</v>
      </c>
      <c r="H105" s="449">
        <v>20000</v>
      </c>
      <c r="I105" s="450">
        <f>I256</f>
        <v>17000</v>
      </c>
      <c r="J105" s="450">
        <f t="shared" ref="J105:N105" si="97">J256</f>
        <v>14000</v>
      </c>
      <c r="K105" s="450">
        <f t="shared" si="97"/>
        <v>12000</v>
      </c>
      <c r="L105" s="450">
        <f t="shared" si="97"/>
        <v>9000</v>
      </c>
      <c r="M105" s="450">
        <f t="shared" si="97"/>
        <v>6000</v>
      </c>
      <c r="N105" s="450">
        <f t="shared" si="97"/>
        <v>4000</v>
      </c>
      <c r="P105" s="23" t="s">
        <v>160</v>
      </c>
    </row>
    <row r="106" s="23" customFormat="1" ht="15" customHeight="1" outlineLevel="1">
      <c r="B106" s="284" t="s">
        <v>202</v>
      </c>
      <c r="C106" s="284"/>
      <c r="D106" s="1"/>
      <c r="E106" s="1"/>
      <c r="F106" s="454">
        <f t="shared" ref="F106:M106" si="98">SUM(F102:F105)</f>
        <v>35179</v>
      </c>
      <c r="G106" s="454">
        <f t="shared" si="98"/>
        <v>34221</v>
      </c>
      <c r="H106" s="454">
        <f t="shared" si="98"/>
        <v>33347</v>
      </c>
      <c r="I106" s="454">
        <f t="shared" si="98"/>
        <v>33513.821646200347</v>
      </c>
      <c r="J106" s="454">
        <f t="shared" si="98"/>
        <v>33882.409755172601</v>
      </c>
      <c r="K106" s="454">
        <f t="shared" si="98"/>
        <v>32316.744372827783</v>
      </c>
      <c r="L106" s="454">
        <f t="shared" si="98"/>
        <v>29642.759076679729</v>
      </c>
      <c r="M106" s="454">
        <f t="shared" si="98"/>
        <v>26826.395573792033</v>
      </c>
      <c r="N106" s="454">
        <f>SUM(N102:N105)</f>
        <v>24875.282614227428</v>
      </c>
      <c r="O106" s="438"/>
      <c r="P106" s="23" t="s">
        <v>160</v>
      </c>
    </row>
    <row r="107" s="23" customFormat="1" ht="15" customHeight="1" outlineLevel="1">
      <c r="B107" s="180"/>
      <c r="C107" s="180"/>
      <c r="D107" s="1"/>
      <c r="E107" s="1"/>
      <c r="F107" s="449"/>
      <c r="G107" s="449"/>
      <c r="H107" s="449"/>
      <c r="I107" s="438"/>
      <c r="J107" s="438"/>
      <c r="K107" s="438"/>
      <c r="L107" s="438"/>
      <c r="M107" s="438"/>
      <c r="N107" s="449"/>
      <c r="O107" s="438"/>
    </row>
    <row r="108" s="23" customFormat="1" ht="15" customHeight="1" outlineLevel="1">
      <c r="B108" s="180"/>
      <c r="C108" s="180"/>
      <c r="D108" s="1"/>
      <c r="E108" s="1"/>
      <c r="F108" s="449"/>
      <c r="G108" s="449"/>
      <c r="H108" s="449"/>
      <c r="I108" s="438"/>
      <c r="J108" s="438"/>
      <c r="K108" s="438"/>
      <c r="L108" s="438"/>
      <c r="M108" s="438"/>
      <c r="N108" s="449"/>
      <c r="O108" s="438"/>
    </row>
    <row r="109" s="23" customFormat="1" ht="15" customHeight="1" outlineLevel="1">
      <c r="B109" s="414" t="s">
        <v>203</v>
      </c>
      <c r="C109" s="414"/>
      <c r="D109" s="1"/>
      <c r="E109" s="1"/>
      <c r="F109" s="449"/>
      <c r="G109" s="449"/>
      <c r="H109" s="449"/>
      <c r="I109" s="438"/>
      <c r="J109" s="438"/>
      <c r="K109" s="438"/>
      <c r="L109" s="438"/>
      <c r="M109" s="438"/>
      <c r="N109" s="449"/>
    </row>
    <row r="110" s="23" customFormat="1" ht="15" customHeight="1" outlineLevel="1">
      <c r="B110" s="414"/>
      <c r="C110" s="414"/>
      <c r="D110" s="1"/>
      <c r="E110" s="1"/>
      <c r="F110" s="449"/>
      <c r="G110" s="449"/>
      <c r="H110" s="449"/>
      <c r="I110" s="438"/>
      <c r="J110" s="438"/>
      <c r="K110" s="438"/>
      <c r="L110" s="438"/>
      <c r="M110" s="438"/>
      <c r="N110" s="449"/>
    </row>
    <row r="111" s="23" customFormat="1" ht="15" customHeight="1" outlineLevel="1">
      <c r="B111" s="284" t="s">
        <v>46</v>
      </c>
      <c r="C111" s="284"/>
      <c r="D111" s="1"/>
      <c r="E111" s="1"/>
      <c r="F111" s="449">
        <v>38669.700000000084</v>
      </c>
      <c r="G111" s="449">
        <v>38669.700000000084</v>
      </c>
      <c r="H111" s="449">
        <v>38669.700000000084</v>
      </c>
      <c r="I111" s="450">
        <f>I313</f>
        <v>37669.700000000084</v>
      </c>
      <c r="J111" s="450">
        <f t="shared" ref="J111:N111" si="99">J313</f>
        <v>36669.700000000084</v>
      </c>
      <c r="K111" s="450">
        <f t="shared" si="99"/>
        <v>35669.700000000084</v>
      </c>
      <c r="L111" s="450">
        <f t="shared" si="99"/>
        <v>34669.700000000084</v>
      </c>
      <c r="M111" s="450">
        <f t="shared" si="99"/>
        <v>33669.700000000084</v>
      </c>
      <c r="N111" s="450">
        <f t="shared" si="99"/>
        <v>32669.700000000084</v>
      </c>
      <c r="P111" s="23" t="s">
        <v>160</v>
      </c>
    </row>
    <row r="112" s="23" customFormat="1" ht="15" customHeight="1" outlineLevel="1">
      <c r="B112" s="284" t="s">
        <v>204</v>
      </c>
      <c r="C112" s="284"/>
      <c r="D112" s="1"/>
      <c r="E112" s="1"/>
      <c r="F112" s="449">
        <v>5690</v>
      </c>
      <c r="G112" s="449">
        <v>12458.850599999998</v>
      </c>
      <c r="H112" s="449">
        <v>20433.299099999997</v>
      </c>
      <c r="I112" s="450">
        <f>I327</f>
        <v>28981.623563099994</v>
      </c>
      <c r="J112" s="450">
        <f t="shared" ref="J112:N112" si="100">J327</f>
        <v>37415.894860711145</v>
      </c>
      <c r="K112" s="450">
        <f t="shared" si="100"/>
        <v>45741.634878232449</v>
      </c>
      <c r="L112" s="450">
        <f t="shared" si="100"/>
        <v>53921.12280036704</v>
      </c>
      <c r="M112" s="450">
        <f t="shared" si="100"/>
        <v>62044.973950502936</v>
      </c>
      <c r="N112" s="450">
        <f t="shared" si="100"/>
        <v>70130.980897000612</v>
      </c>
      <c r="P112" s="23" t="s">
        <v>160</v>
      </c>
    </row>
    <row r="113" s="23" customFormat="1" ht="15" customHeight="1" outlineLevel="1">
      <c r="B113" s="284" t="s">
        <v>205</v>
      </c>
      <c r="C113" s="284"/>
      <c r="D113" s="1"/>
      <c r="E113" s="1"/>
      <c r="F113" s="454">
        <f>SUM(F111:F112)</f>
        <v>44359.700000000084</v>
      </c>
      <c r="G113" s="454">
        <f>SUM(G111:G112)</f>
        <v>51128.550600000082</v>
      </c>
      <c r="H113" s="454">
        <f>SUM(H111:H112)</f>
        <v>59102.999100000081</v>
      </c>
      <c r="I113" s="454">
        <f>SUM(I111:I112)</f>
        <v>66651.323563100072</v>
      </c>
      <c r="J113" s="454">
        <f t="shared" ref="J113:N113" si="101">SUM(J111:J112)</f>
        <v>74085.594860711222</v>
      </c>
      <c r="K113" s="454">
        <f t="shared" si="101"/>
        <v>81411.334878232534</v>
      </c>
      <c r="L113" s="454">
        <f t="shared" si="101"/>
        <v>88590.822800367125</v>
      </c>
      <c r="M113" s="454">
        <f t="shared" si="101"/>
        <v>95714.673950503027</v>
      </c>
      <c r="N113" s="454">
        <f t="shared" si="101"/>
        <v>102800.6808970007</v>
      </c>
      <c r="P113" s="23" t="s">
        <v>160</v>
      </c>
    </row>
    <row r="114" s="23" customFormat="1" ht="15" customHeight="1" outlineLevel="1">
      <c r="B114" s="180"/>
      <c r="C114" s="180"/>
      <c r="D114" s="1"/>
      <c r="E114" s="1"/>
      <c r="F114" s="457"/>
      <c r="G114" s="457"/>
      <c r="H114" s="457"/>
      <c r="I114" s="429"/>
      <c r="J114" s="429"/>
      <c r="K114" s="429"/>
      <c r="L114" s="429"/>
      <c r="M114" s="429"/>
      <c r="N114" s="457"/>
      <c r="O114" s="438"/>
    </row>
    <row r="115" s="23" customFormat="1" ht="15" customHeight="1" outlineLevel="1">
      <c r="B115" s="180"/>
      <c r="C115" s="180"/>
      <c r="D115" s="1"/>
      <c r="E115" s="1"/>
      <c r="F115" s="457"/>
      <c r="G115" s="457"/>
      <c r="H115" s="457"/>
      <c r="I115" s="429"/>
      <c r="J115" s="429"/>
      <c r="K115" s="429"/>
      <c r="L115" s="429"/>
      <c r="M115" s="429"/>
      <c r="N115" s="457"/>
      <c r="O115" s="438"/>
    </row>
    <row r="116" s="23" customFormat="1" ht="15" customHeight="1" outlineLevel="1">
      <c r="B116" s="284" t="s">
        <v>206</v>
      </c>
      <c r="C116" s="180"/>
      <c r="D116" s="1"/>
      <c r="E116" s="1"/>
      <c r="F116" s="451">
        <f t="shared" ref="F116:M116" si="102">F113+F106</f>
        <v>79538.700000000084</v>
      </c>
      <c r="G116" s="451">
        <f t="shared" si="102"/>
        <v>85349.550600000075</v>
      </c>
      <c r="H116" s="451">
        <f t="shared" si="102"/>
        <v>92449.999100000074</v>
      </c>
      <c r="I116" s="451">
        <f t="shared" si="102"/>
        <v>100165.14520930042</v>
      </c>
      <c r="J116" s="451">
        <f t="shared" si="102"/>
        <v>107968.00461588382</v>
      </c>
      <c r="K116" s="451">
        <f t="shared" si="102"/>
        <v>113728.07925106032</v>
      </c>
      <c r="L116" s="451">
        <f t="shared" si="102"/>
        <v>118233.58187704685</v>
      </c>
      <c r="M116" s="451">
        <f t="shared" si="102"/>
        <v>122541.06952429506</v>
      </c>
      <c r="N116" s="451">
        <f>N113+N106</f>
        <v>127675.96351122812</v>
      </c>
      <c r="O116" s="438"/>
    </row>
    <row r="117" s="23" customFormat="1" ht="15" customHeight="1" outlineLevel="1">
      <c r="B117" s="67"/>
      <c r="C117" s="67"/>
      <c r="D117" s="1"/>
      <c r="E117" s="1"/>
      <c r="F117" s="438"/>
      <c r="G117" s="438"/>
      <c r="H117" s="438"/>
      <c r="I117" s="289"/>
      <c r="J117" s="289"/>
      <c r="K117" s="289"/>
      <c r="L117" s="289"/>
      <c r="M117" s="289"/>
      <c r="N117" s="438"/>
      <c r="O117" s="59"/>
    </row>
    <row r="118" s="23" customFormat="1" ht="15" customHeight="1" outlineLevel="1">
      <c r="B118" s="67"/>
      <c r="C118" s="67"/>
      <c r="D118" s="1"/>
      <c r="E118" s="1"/>
      <c r="F118" s="438"/>
      <c r="G118" s="438"/>
      <c r="H118" s="438"/>
      <c r="I118" s="289"/>
      <c r="J118" s="289"/>
      <c r="K118" s="289"/>
      <c r="L118" s="289"/>
      <c r="M118" s="289"/>
      <c r="N118" s="438"/>
      <c r="O118" s="59"/>
    </row>
    <row r="119" s="23" customFormat="1" ht="15" customHeight="1" outlineLevel="1">
      <c r="B119" s="296" t="s">
        <v>207</v>
      </c>
      <c r="C119" s="296"/>
      <c r="D119" s="1"/>
      <c r="E119" s="1"/>
      <c r="F119" s="458">
        <f t="shared" ref="F119:M119" si="103">ROUND(F116-F95,0)</f>
        <v>0</v>
      </c>
      <c r="G119" s="458">
        <f t="shared" si="103"/>
        <v>0</v>
      </c>
      <c r="H119" s="458">
        <f t="shared" si="103"/>
        <v>0</v>
      </c>
      <c r="I119" s="458">
        <f t="shared" si="103"/>
        <v>0</v>
      </c>
      <c r="J119" s="458">
        <f t="shared" si="103"/>
        <v>0</v>
      </c>
      <c r="K119" s="458">
        <f t="shared" si="103"/>
        <v>0</v>
      </c>
      <c r="L119" s="458">
        <f t="shared" si="103"/>
        <v>0</v>
      </c>
      <c r="M119" s="458">
        <f t="shared" si="103"/>
        <v>0</v>
      </c>
      <c r="N119" s="458">
        <f>ROUND(N116-N95,0)</f>
        <v>0</v>
      </c>
      <c r="O119" s="438"/>
    </row>
    <row r="120" s="23" customFormat="1" ht="15" customHeight="1" outlineLevel="1">
      <c r="B120" s="11"/>
      <c r="C120" s="12"/>
      <c r="D120" s="14"/>
      <c r="E120" s="14"/>
      <c r="F120" s="14"/>
      <c r="G120" s="14"/>
      <c r="H120" s="14"/>
      <c r="I120" s="16"/>
      <c r="J120" s="16"/>
      <c r="K120" s="16"/>
      <c r="L120" s="16"/>
      <c r="M120" s="16"/>
      <c r="N120" s="1"/>
      <c r="O120" s="438"/>
    </row>
    <row r="121" s="23" customFormat="1" ht="15" customHeight="1" outlineLevel="1">
      <c r="B121" s="431"/>
      <c r="C121" s="431"/>
      <c r="D121" s="432"/>
      <c r="E121" s="432"/>
      <c r="F121" s="433"/>
      <c r="G121" s="433"/>
      <c r="H121" s="433"/>
      <c r="I121" s="433"/>
      <c r="J121" s="433"/>
      <c r="K121" s="433"/>
      <c r="L121" s="433"/>
      <c r="M121" s="433"/>
      <c r="N121" s="4"/>
      <c r="O121" s="438"/>
    </row>
    <row r="122" s="23" customFormat="1" ht="15" customHeight="1" outlineLevel="1">
      <c r="B122" s="73"/>
      <c r="C122" s="67"/>
      <c r="D122" s="399"/>
      <c r="E122" s="67"/>
      <c r="F122" s="289"/>
      <c r="G122" s="289"/>
      <c r="H122" s="289"/>
      <c r="I122" s="289"/>
      <c r="J122" s="289"/>
      <c r="K122" s="289"/>
      <c r="L122" s="289"/>
      <c r="M122" s="289"/>
      <c r="N122" s="289"/>
      <c r="O122" s="59"/>
    </row>
    <row r="123" s="23" customFormat="1" ht="15" customHeight="1" outlineLevel="1">
      <c r="B123" s="6" t="s">
        <v>208</v>
      </c>
      <c r="C123" s="7"/>
      <c r="D123" s="459"/>
      <c r="E123" s="459"/>
      <c r="F123" s="9"/>
      <c r="G123" s="9"/>
      <c r="H123" s="9"/>
      <c r="I123" s="460"/>
      <c r="J123" s="461"/>
      <c r="K123" s="461"/>
      <c r="L123" s="461"/>
      <c r="M123" s="461"/>
      <c r="N123" s="401"/>
      <c r="O123" s="59"/>
    </row>
    <row r="124" s="23" customFormat="1" ht="15" customHeight="1" outlineLevel="1">
      <c r="B124" s="176"/>
      <c r="C124" s="12"/>
      <c r="D124" s="13"/>
      <c r="E124" s="13"/>
      <c r="F124" s="10"/>
      <c r="G124" s="10"/>
      <c r="H124" s="10"/>
      <c r="I124" s="10"/>
      <c r="J124" s="10"/>
      <c r="K124" s="10"/>
      <c r="L124" s="10"/>
      <c r="M124" s="10"/>
      <c r="O124" s="59"/>
    </row>
    <row r="125" s="23" customFormat="1" ht="15" customHeight="1" outlineLevel="1">
      <c r="B125" s="11" t="s">
        <v>3</v>
      </c>
      <c r="C125" s="12"/>
      <c r="D125" s="14"/>
      <c r="E125" s="14"/>
      <c r="F125" s="388">
        <f t="shared" ref="F125:N125" si="104">F$3</f>
        <v>2020</v>
      </c>
      <c r="G125" s="388">
        <f t="shared" si="104"/>
        <v>2021</v>
      </c>
      <c r="H125" s="388">
        <f t="shared" si="104"/>
        <v>2022</v>
      </c>
      <c r="I125" s="389">
        <f t="shared" si="104"/>
        <v>2023</v>
      </c>
      <c r="J125" s="389">
        <f t="shared" si="104"/>
        <v>2024</v>
      </c>
      <c r="K125" s="389">
        <f t="shared" si="104"/>
        <v>2025</v>
      </c>
      <c r="L125" s="389">
        <f t="shared" si="104"/>
        <v>2026</v>
      </c>
      <c r="M125" s="389">
        <f t="shared" si="104"/>
        <v>2027</v>
      </c>
      <c r="N125" s="177" t="str">
        <f t="shared" si="104"/>
        <v>Term</v>
      </c>
      <c r="O125" s="438"/>
    </row>
    <row r="126" s="23" customFormat="1" ht="15" customHeight="1">
      <c r="B126" s="11" t="str">
        <f>$B$4</f>
        <v xml:space="preserve">Model Running: Base Case Drivers</v>
      </c>
      <c r="C126" s="12"/>
      <c r="D126" s="14"/>
      <c r="E126" s="14"/>
      <c r="F126" s="14"/>
      <c r="G126" s="14"/>
      <c r="H126" s="14"/>
      <c r="I126" s="16"/>
      <c r="J126" s="16"/>
      <c r="K126" s="16"/>
      <c r="L126" s="16"/>
      <c r="M126" s="16"/>
      <c r="N126" s="16"/>
      <c r="O126" s="438"/>
    </row>
    <row r="127" s="23" customFormat="1" ht="15" customHeight="1">
      <c r="A127" s="23" t="s">
        <v>0</v>
      </c>
      <c r="B127" s="11"/>
      <c r="C127" s="12"/>
      <c r="D127" s="14"/>
      <c r="E127" s="14"/>
      <c r="F127" s="14"/>
      <c r="G127" s="14"/>
      <c r="H127" s="14"/>
      <c r="O127" s="438"/>
    </row>
    <row r="128" s="23" customFormat="1" ht="15" customHeight="1" outlineLevel="1">
      <c r="B128" s="284" t="s">
        <v>129</v>
      </c>
      <c r="C128" s="67"/>
      <c r="D128" s="399"/>
      <c r="E128" s="67"/>
      <c r="F128" s="462">
        <f t="shared" ref="F128:N128" si="105">F$6</f>
        <v>365</v>
      </c>
      <c r="G128" s="463">
        <f t="shared" si="105"/>
        <v>365</v>
      </c>
      <c r="H128" s="463">
        <f t="shared" si="105"/>
        <v>365</v>
      </c>
      <c r="I128" s="463">
        <f t="shared" si="105"/>
        <v>365</v>
      </c>
      <c r="J128" s="463">
        <f t="shared" si="105"/>
        <v>365</v>
      </c>
      <c r="K128" s="463">
        <f t="shared" si="105"/>
        <v>365</v>
      </c>
      <c r="L128" s="463">
        <f t="shared" si="105"/>
        <v>365</v>
      </c>
      <c r="M128" s="463">
        <f t="shared" si="105"/>
        <v>365</v>
      </c>
      <c r="N128" s="391">
        <f t="shared" si="105"/>
        <v>365</v>
      </c>
      <c r="O128" s="438"/>
      <c r="P128" s="23" t="s">
        <v>160</v>
      </c>
    </row>
    <row r="129" s="23" customFormat="1" ht="15" customHeight="1" outlineLevel="1">
      <c r="B129" s="284" t="s">
        <v>159</v>
      </c>
      <c r="C129" s="67"/>
      <c r="D129" s="67"/>
      <c r="E129" s="67"/>
      <c r="F129" s="464">
        <f t="shared" ref="F129:N129" si="106">F19</f>
        <v>50589</v>
      </c>
      <c r="G129" s="465">
        <f t="shared" si="106"/>
        <v>51647.864999999998</v>
      </c>
      <c r="H129" s="465">
        <f t="shared" si="106"/>
        <v>53760.849999999999</v>
      </c>
      <c r="I129" s="465">
        <f t="shared" si="106"/>
        <v>55373.675499999998</v>
      </c>
      <c r="J129" s="465">
        <f t="shared" si="106"/>
        <v>56481.149010000001</v>
      </c>
      <c r="K129" s="465">
        <f t="shared" si="106"/>
        <v>57610.771990200003</v>
      </c>
      <c r="L129" s="465">
        <f t="shared" si="106"/>
        <v>58474.933570052999</v>
      </c>
      <c r="M129" s="465">
        <f t="shared" si="106"/>
        <v>59352.057573603786</v>
      </c>
      <c r="N129" s="466">
        <f t="shared" si="106"/>
        <v>59945.578149339824</v>
      </c>
      <c r="O129" s="59"/>
      <c r="P129" s="23" t="s">
        <v>160</v>
      </c>
    </row>
    <row r="130" ht="15" customHeight="1" outlineLevel="1">
      <c r="A130" s="4"/>
      <c r="B130" s="284" t="s">
        <v>161</v>
      </c>
      <c r="C130" s="67"/>
      <c r="D130" s="67"/>
      <c r="E130" s="67"/>
      <c r="F130" s="464">
        <f>F20*-1</f>
        <v>24544.299999999999</v>
      </c>
      <c r="G130" s="465">
        <f t="shared" ref="G130:N130" si="107">G20*-1</f>
        <v>25104.0144</v>
      </c>
      <c r="H130" s="465">
        <f t="shared" si="107"/>
        <v>25779.4015</v>
      </c>
      <c r="I130" s="465">
        <f t="shared" si="107"/>
        <v>26681.680552499998</v>
      </c>
      <c r="J130" s="465">
        <f t="shared" si="107"/>
        <v>27482.130969074999</v>
      </c>
      <c r="K130" s="465">
        <f t="shared" si="107"/>
        <v>28306.59489814725</v>
      </c>
      <c r="L130" s="465">
        <f t="shared" si="107"/>
        <v>29014.259770600929</v>
      </c>
      <c r="M130" s="465">
        <f t="shared" si="107"/>
        <v>29739.616264865948</v>
      </c>
      <c r="N130" s="466">
        <f t="shared" si="107"/>
        <v>30185.710508838936</v>
      </c>
      <c r="P130" s="23" t="s">
        <v>160</v>
      </c>
    </row>
    <row r="131" s="23" customFormat="1" ht="15" customHeight="1" outlineLevel="1">
      <c r="B131" s="4"/>
      <c r="C131" s="414"/>
      <c r="D131" s="67"/>
      <c r="E131" s="67"/>
      <c r="F131" s="67"/>
      <c r="G131" s="67"/>
      <c r="H131" s="67"/>
      <c r="I131" s="289"/>
      <c r="J131" s="289"/>
      <c r="K131" s="289"/>
      <c r="L131" s="289"/>
      <c r="M131" s="289"/>
      <c r="N131" s="289"/>
      <c r="O131" s="438"/>
    </row>
    <row r="132" s="23" customFormat="1" ht="15" customHeight="1" outlineLevel="1">
      <c r="B132" s="4"/>
      <c r="C132" s="414"/>
      <c r="D132" s="67"/>
      <c r="E132" s="67"/>
      <c r="F132" s="67"/>
      <c r="G132" s="67"/>
      <c r="H132" s="67"/>
      <c r="I132" s="289"/>
      <c r="J132" s="289"/>
      <c r="K132" s="289"/>
      <c r="L132" s="289"/>
      <c r="M132" s="289"/>
      <c r="N132" s="289"/>
    </row>
    <row r="133" s="23" customFormat="1" ht="15" customHeight="1" outlineLevel="1">
      <c r="B133" s="61" t="s">
        <v>209</v>
      </c>
      <c r="C133" s="414"/>
      <c r="D133" s="67"/>
      <c r="E133" s="67"/>
      <c r="F133" s="67"/>
      <c r="G133" s="67"/>
      <c r="H133" s="67"/>
      <c r="I133" s="289"/>
      <c r="J133" s="289"/>
      <c r="K133" s="289"/>
      <c r="L133" s="289"/>
      <c r="M133" s="289"/>
      <c r="N133" s="289"/>
    </row>
    <row r="134" s="23" customFormat="1" ht="15" customHeight="1" outlineLevel="1">
      <c r="B134" s="284" t="s">
        <v>38</v>
      </c>
      <c r="C134" s="67"/>
      <c r="D134" s="399" t="s">
        <v>39</v>
      </c>
      <c r="E134" s="399"/>
      <c r="F134" s="465">
        <f t="shared" ref="F134:H135" si="108">(F140/F129)*F$128</f>
        <v>41.18326118326118</v>
      </c>
      <c r="G134" s="465">
        <f t="shared" si="108"/>
        <v>44.755867449700006</v>
      </c>
      <c r="H134" s="465">
        <f t="shared" si="108"/>
        <v>44.972503224930414</v>
      </c>
      <c r="I134" s="465">
        <f>Inputs!G35</f>
        <v>45</v>
      </c>
      <c r="J134" s="465">
        <f>Inputs!H35</f>
        <v>45</v>
      </c>
      <c r="K134" s="465">
        <f>Inputs!I35</f>
        <v>45</v>
      </c>
      <c r="L134" s="465">
        <f>Inputs!J35</f>
        <v>45</v>
      </c>
      <c r="M134" s="462">
        <f>Inputs!K35</f>
        <v>45</v>
      </c>
      <c r="N134" s="391">
        <f>Inputs!L35</f>
        <v>45</v>
      </c>
      <c r="P134" s="23" t="s">
        <v>160</v>
      </c>
    </row>
    <row r="135" s="23" customFormat="1" ht="15" customHeight="1" outlineLevel="1">
      <c r="B135" s="284" t="s">
        <v>40</v>
      </c>
      <c r="C135" s="67"/>
      <c r="D135" s="399" t="s">
        <v>39</v>
      </c>
      <c r="E135" s="399"/>
      <c r="F135" s="465">
        <f t="shared" si="108"/>
        <v>26.648957191690126</v>
      </c>
      <c r="G135" s="465">
        <f t="shared" si="108"/>
        <v>27.959472489786332</v>
      </c>
      <c r="H135" s="465">
        <f t="shared" si="108"/>
        <v>28.444609158207186</v>
      </c>
      <c r="I135" s="465">
        <f>Inputs!G36</f>
        <v>25</v>
      </c>
      <c r="J135" s="465">
        <f>Inputs!H36</f>
        <v>25</v>
      </c>
      <c r="K135" s="465">
        <f>Inputs!I36</f>
        <v>25</v>
      </c>
      <c r="L135" s="465">
        <f>Inputs!J36</f>
        <v>25</v>
      </c>
      <c r="M135" s="464">
        <f>Inputs!K36</f>
        <v>25</v>
      </c>
      <c r="N135" s="466">
        <f>Inputs!L36</f>
        <v>25</v>
      </c>
      <c r="P135" s="23" t="s">
        <v>160</v>
      </c>
    </row>
    <row r="136" s="23" customFormat="1" ht="15" customHeight="1" outlineLevel="1">
      <c r="B136" s="284" t="s">
        <v>41</v>
      </c>
      <c r="C136" s="67"/>
      <c r="D136" s="399" t="s">
        <v>39</v>
      </c>
      <c r="E136" s="399"/>
      <c r="F136" s="465">
        <f>(F142/F130)*F$128</f>
        <v>44.970115260977096</v>
      </c>
      <c r="G136" s="465">
        <f>(G142/G130)*G$128</f>
        <v>46.599120816310553</v>
      </c>
      <c r="H136" s="465">
        <f>(H142/H130)*H$128</f>
        <v>46.992363263359699</v>
      </c>
      <c r="I136" s="465">
        <f>Inputs!G37</f>
        <v>40</v>
      </c>
      <c r="J136" s="465">
        <f>Inputs!H37</f>
        <v>40</v>
      </c>
      <c r="K136" s="465">
        <f>Inputs!I37</f>
        <v>40</v>
      </c>
      <c r="L136" s="465">
        <f>Inputs!J37</f>
        <v>40</v>
      </c>
      <c r="M136" s="467">
        <f>Inputs!K37</f>
        <v>40</v>
      </c>
      <c r="N136" s="468">
        <f>Inputs!L37</f>
        <v>40</v>
      </c>
      <c r="P136" s="23" t="s">
        <v>160</v>
      </c>
    </row>
    <row r="137" s="23" customFormat="1" ht="15" customHeight="1" outlineLevel="1">
      <c r="B137" s="4"/>
      <c r="C137" s="67"/>
      <c r="D137" s="469"/>
      <c r="E137" s="469"/>
      <c r="F137" s="470"/>
      <c r="G137" s="471"/>
      <c r="H137" s="471"/>
      <c r="I137" s="447"/>
      <c r="J137" s="447"/>
      <c r="K137" s="447"/>
      <c r="L137" s="447"/>
      <c r="M137" s="447"/>
      <c r="N137" s="447"/>
    </row>
    <row r="138" s="23" customFormat="1" ht="15" customHeight="1" outlineLevel="1">
      <c r="B138" s="4"/>
      <c r="C138" s="67"/>
      <c r="D138" s="469"/>
      <c r="E138" s="469"/>
      <c r="F138" s="470"/>
      <c r="G138" s="471"/>
      <c r="H138" s="471"/>
      <c r="I138" s="447"/>
      <c r="J138" s="447"/>
      <c r="K138" s="447"/>
      <c r="L138" s="447"/>
      <c r="M138" s="447"/>
      <c r="N138" s="447"/>
    </row>
    <row r="139" s="23" customFormat="1" ht="15" customHeight="1" outlineLevel="1">
      <c r="B139" s="61" t="s">
        <v>210</v>
      </c>
      <c r="C139" s="414"/>
      <c r="D139" s="67"/>
      <c r="E139" s="67"/>
      <c r="F139" s="67"/>
      <c r="G139" s="67"/>
      <c r="H139" s="67"/>
      <c r="I139" s="289"/>
      <c r="J139" s="289"/>
      <c r="K139" s="289"/>
      <c r="L139" s="289"/>
      <c r="M139" s="289"/>
      <c r="N139" s="289"/>
    </row>
    <row r="140" s="23" customFormat="1" ht="15" customHeight="1" outlineLevel="1">
      <c r="B140" s="284" t="s">
        <v>38</v>
      </c>
      <c r="C140" s="67"/>
      <c r="D140" s="67"/>
      <c r="E140" s="67"/>
      <c r="F140" s="400">
        <v>5708</v>
      </c>
      <c r="G140" s="400">
        <v>6333</v>
      </c>
      <c r="H140" s="400">
        <v>6624</v>
      </c>
      <c r="I140" s="465">
        <f t="shared" ref="I140:N141" si="109">(I134/I$128)*I129</f>
        <v>6826.8914999999997</v>
      </c>
      <c r="J140" s="465">
        <f t="shared" si="109"/>
        <v>6963.4293299999999</v>
      </c>
      <c r="K140" s="465">
        <f t="shared" si="109"/>
        <v>7102.6979166000001</v>
      </c>
      <c r="L140" s="465">
        <f t="shared" si="109"/>
        <v>7209.2383853489991</v>
      </c>
      <c r="M140" s="462">
        <f t="shared" si="109"/>
        <v>7317.3769611292337</v>
      </c>
      <c r="N140" s="391">
        <f t="shared" si="109"/>
        <v>7390.550730740526</v>
      </c>
      <c r="P140" s="23" t="s">
        <v>160</v>
      </c>
    </row>
    <row r="141" s="23" customFormat="1" ht="15" customHeight="1" outlineLevel="1">
      <c r="B141" s="284" t="s">
        <v>40</v>
      </c>
      <c r="C141" s="67"/>
      <c r="D141" s="67"/>
      <c r="E141" s="67"/>
      <c r="F141" s="400">
        <v>1792</v>
      </c>
      <c r="G141" s="400">
        <v>1923</v>
      </c>
      <c r="H141" s="400">
        <v>2009</v>
      </c>
      <c r="I141" s="465">
        <f t="shared" si="109"/>
        <v>1827.5123666095888</v>
      </c>
      <c r="J141" s="465">
        <f t="shared" si="109"/>
        <v>1882.3377376078765</v>
      </c>
      <c r="K141" s="465">
        <f t="shared" si="109"/>
        <v>1938.8078697361129</v>
      </c>
      <c r="L141" s="465">
        <f t="shared" si="109"/>
        <v>1987.2780664795157</v>
      </c>
      <c r="M141" s="464">
        <f t="shared" si="109"/>
        <v>2036.9600181415033</v>
      </c>
      <c r="N141" s="466">
        <f t="shared" si="109"/>
        <v>2067.5144184136257</v>
      </c>
      <c r="P141" s="23" t="s">
        <v>160</v>
      </c>
    </row>
    <row r="142" s="23" customFormat="1" ht="15" customHeight="1" outlineLevel="1">
      <c r="B142" s="284" t="s">
        <v>41</v>
      </c>
      <c r="C142" s="67"/>
      <c r="D142" s="67"/>
      <c r="E142" s="67"/>
      <c r="F142" s="400">
        <v>3024</v>
      </c>
      <c r="G142" s="400">
        <v>3205</v>
      </c>
      <c r="H142" s="400">
        <v>3319</v>
      </c>
      <c r="I142" s="465">
        <f t="shared" ref="I142:N142" si="110">(I136/I$128)*I130</f>
        <v>2924.0197865753421</v>
      </c>
      <c r="J142" s="465">
        <f t="shared" si="110"/>
        <v>3011.7403801726023</v>
      </c>
      <c r="K142" s="465">
        <f t="shared" si="110"/>
        <v>3102.0925915777807</v>
      </c>
      <c r="L142" s="465">
        <f t="shared" si="110"/>
        <v>3179.6449063672248</v>
      </c>
      <c r="M142" s="467">
        <f t="shared" si="110"/>
        <v>3259.1360290264051</v>
      </c>
      <c r="N142" s="468">
        <f t="shared" si="110"/>
        <v>3308.0230694618012</v>
      </c>
      <c r="P142" s="23" t="s">
        <v>160</v>
      </c>
    </row>
    <row r="143" s="23" customFormat="1" ht="15" customHeight="1" outlineLevel="1">
      <c r="B143" s="4"/>
      <c r="C143" s="414"/>
      <c r="D143" s="67"/>
      <c r="E143" s="67"/>
      <c r="F143" s="67"/>
      <c r="G143" s="67"/>
      <c r="H143" s="67"/>
      <c r="I143" s="289"/>
      <c r="J143" s="289"/>
      <c r="K143" s="289"/>
      <c r="L143" s="289"/>
      <c r="M143" s="289"/>
      <c r="N143" s="289"/>
      <c r="O143" s="16"/>
    </row>
    <row r="144" s="23" customFormat="1" ht="15" customHeight="1" outlineLevel="1">
      <c r="B144" s="4"/>
      <c r="C144" s="414"/>
      <c r="D144" s="67"/>
      <c r="E144" s="67"/>
      <c r="F144" s="67"/>
      <c r="G144" s="67"/>
      <c r="H144" s="67"/>
      <c r="I144" s="289"/>
      <c r="J144" s="289"/>
      <c r="K144" s="289"/>
      <c r="L144" s="289"/>
      <c r="M144" s="289"/>
      <c r="N144" s="289"/>
      <c r="O144" s="16"/>
    </row>
    <row r="145" s="23" customFormat="1" ht="15" customHeight="1" outlineLevel="1">
      <c r="B145" s="61" t="s">
        <v>211</v>
      </c>
      <c r="C145" s="414"/>
      <c r="D145" s="67"/>
      <c r="E145" s="67"/>
      <c r="F145" s="67"/>
      <c r="G145" s="67"/>
      <c r="H145" s="67"/>
      <c r="I145" s="289"/>
      <c r="J145" s="289"/>
      <c r="K145" s="289"/>
      <c r="L145" s="289"/>
      <c r="M145" s="289"/>
      <c r="N145" s="289"/>
      <c r="O145" s="16"/>
    </row>
    <row r="146" s="23" customFormat="1" ht="15" customHeight="1" outlineLevel="1">
      <c r="B146" s="284" t="s">
        <v>212</v>
      </c>
      <c r="C146" s="67"/>
      <c r="D146" s="67"/>
      <c r="E146" s="67"/>
      <c r="F146" s="465">
        <f t="shared" ref="F146:H146" si="111">SUM(F140:F141)</f>
        <v>7500</v>
      </c>
      <c r="G146" s="465">
        <f t="shared" si="111"/>
        <v>8256</v>
      </c>
      <c r="H146" s="465">
        <f t="shared" si="111"/>
        <v>8633</v>
      </c>
      <c r="I146" s="465">
        <f>SUM(I140:I141)</f>
        <v>8654.4038666095876</v>
      </c>
      <c r="J146" s="465">
        <f t="shared" ref="J146:N146" si="112">SUM(J140:J141)</f>
        <v>8845.767067607876</v>
      </c>
      <c r="K146" s="465">
        <f t="shared" si="112"/>
        <v>9041.5057863361126</v>
      </c>
      <c r="L146" s="465">
        <f t="shared" si="112"/>
        <v>9196.5164518285146</v>
      </c>
      <c r="M146" s="462">
        <f t="shared" si="112"/>
        <v>9354.3369792707363</v>
      </c>
      <c r="N146" s="391">
        <f t="shared" si="112"/>
        <v>9458.0651491541521</v>
      </c>
      <c r="O146" s="16"/>
      <c r="P146" s="23" t="s">
        <v>160</v>
      </c>
    </row>
    <row r="147" s="23" customFormat="1" ht="15" customHeight="1" outlineLevel="1">
      <c r="B147" s="284" t="s">
        <v>213</v>
      </c>
      <c r="C147" s="67"/>
      <c r="D147" s="67"/>
      <c r="E147" s="67"/>
      <c r="F147" s="472">
        <f t="shared" ref="F147:N147" si="113">SUM(F142)</f>
        <v>3024</v>
      </c>
      <c r="G147" s="472">
        <f t="shared" si="113"/>
        <v>3205</v>
      </c>
      <c r="H147" s="472">
        <f t="shared" si="113"/>
        <v>3319</v>
      </c>
      <c r="I147" s="472">
        <f t="shared" si="113"/>
        <v>2924.0197865753421</v>
      </c>
      <c r="J147" s="472">
        <f t="shared" si="113"/>
        <v>3011.7403801726023</v>
      </c>
      <c r="K147" s="472">
        <f t="shared" si="113"/>
        <v>3102.0925915777807</v>
      </c>
      <c r="L147" s="472">
        <f t="shared" si="113"/>
        <v>3179.6449063672248</v>
      </c>
      <c r="M147" s="467">
        <f t="shared" si="113"/>
        <v>3259.1360290264051</v>
      </c>
      <c r="N147" s="468">
        <f t="shared" si="113"/>
        <v>3308.0230694618012</v>
      </c>
      <c r="O147" s="16"/>
      <c r="P147" s="23" t="s">
        <v>160</v>
      </c>
    </row>
    <row r="148" s="23" customFormat="1" ht="15" customHeight="1" outlineLevel="1">
      <c r="B148" s="284" t="s">
        <v>214</v>
      </c>
      <c r="C148" s="67"/>
      <c r="D148" s="67"/>
      <c r="E148" s="67"/>
      <c r="F148" s="465">
        <f t="shared" ref="F148:N148" si="114">F146-F147</f>
        <v>4476</v>
      </c>
      <c r="G148" s="465">
        <f t="shared" si="114"/>
        <v>5051</v>
      </c>
      <c r="H148" s="465">
        <f t="shared" si="114"/>
        <v>5314</v>
      </c>
      <c r="I148" s="465">
        <f t="shared" si="114"/>
        <v>5730.3840800342459</v>
      </c>
      <c r="J148" s="465">
        <f t="shared" si="114"/>
        <v>5834.0266874352737</v>
      </c>
      <c r="K148" s="465">
        <f t="shared" si="114"/>
        <v>5939.4131947583319</v>
      </c>
      <c r="L148" s="465">
        <f t="shared" si="114"/>
        <v>6016.8715454612902</v>
      </c>
      <c r="M148" s="467">
        <f t="shared" si="114"/>
        <v>6095.2009502443307</v>
      </c>
      <c r="N148" s="468">
        <f t="shared" si="114"/>
        <v>6150.0420796923509</v>
      </c>
      <c r="P148" s="23" t="s">
        <v>160</v>
      </c>
    </row>
    <row r="149" s="23" customFormat="1" ht="15" customHeight="1" outlineLevel="1">
      <c r="B149" s="61"/>
      <c r="C149" s="414"/>
      <c r="D149" s="67"/>
      <c r="E149" s="67"/>
      <c r="F149" s="67"/>
      <c r="G149" s="67"/>
      <c r="H149" s="67"/>
      <c r="I149" s="289"/>
      <c r="J149" s="289"/>
      <c r="K149" s="289"/>
      <c r="L149" s="289"/>
      <c r="M149" s="289"/>
      <c r="N149" s="289"/>
    </row>
    <row r="150" s="23" customFormat="1" ht="15" customHeight="1" outlineLevel="1">
      <c r="B150" s="61"/>
      <c r="C150" s="414"/>
      <c r="D150" s="67"/>
      <c r="E150" s="67"/>
      <c r="F150" s="67"/>
      <c r="G150" s="67"/>
      <c r="H150" s="67"/>
      <c r="I150" s="289"/>
      <c r="J150" s="289"/>
      <c r="K150" s="289"/>
      <c r="L150" s="289"/>
      <c r="M150" s="289"/>
      <c r="N150" s="289"/>
    </row>
    <row r="151" s="23" customFormat="1" ht="15" customHeight="1" outlineLevel="1">
      <c r="B151" s="180" t="s">
        <v>215</v>
      </c>
      <c r="C151" s="414"/>
      <c r="D151" s="414"/>
      <c r="E151" s="414"/>
      <c r="F151" s="473" t="str">
        <f>'Model-R'!S155</f>
        <v>COMPLETE</v>
      </c>
      <c r="G151" s="474">
        <f t="shared" ref="G151:N151" si="115">F148-G148</f>
        <v>-575</v>
      </c>
      <c r="H151" s="474">
        <f t="shared" si="115"/>
        <v>-263</v>
      </c>
      <c r="I151" s="474">
        <f t="shared" si="115"/>
        <v>-416.38408003424593</v>
      </c>
      <c r="J151" s="474">
        <f t="shared" si="115"/>
        <v>-103.64260740102782</v>
      </c>
      <c r="K151" s="474">
        <f t="shared" si="115"/>
        <v>-105.38650732305814</v>
      </c>
      <c r="L151" s="474">
        <f t="shared" si="115"/>
        <v>-77.458350702958342</v>
      </c>
      <c r="M151" s="474">
        <f t="shared" si="115"/>
        <v>-78.329404783040445</v>
      </c>
      <c r="N151" s="475">
        <f t="shared" si="115"/>
        <v>-54.841129448020183</v>
      </c>
      <c r="O151" s="438"/>
      <c r="P151" s="23" t="s">
        <v>160</v>
      </c>
    </row>
    <row r="152" s="23" customFormat="1" ht="15" customHeight="1" outlineLevel="1">
      <c r="B152" s="4"/>
      <c r="C152" s="414"/>
      <c r="D152" s="414"/>
      <c r="E152" s="414"/>
      <c r="F152" s="414"/>
      <c r="G152" s="476"/>
      <c r="H152" s="476"/>
      <c r="I152" s="476"/>
      <c r="J152" s="476"/>
      <c r="K152" s="476"/>
      <c r="L152" s="476"/>
      <c r="M152" s="476"/>
      <c r="N152" s="476"/>
      <c r="O152" s="59"/>
    </row>
    <row r="153" s="23" customFormat="1" ht="15" customHeight="1" outlineLevel="1">
      <c r="B153" s="4"/>
      <c r="C153" s="414"/>
      <c r="D153" s="414"/>
      <c r="E153" s="414"/>
      <c r="F153" s="414"/>
      <c r="G153" s="476"/>
      <c r="H153" s="476"/>
      <c r="I153" s="476"/>
      <c r="J153" s="476"/>
      <c r="K153" s="476"/>
      <c r="L153" s="476"/>
      <c r="M153" s="476"/>
      <c r="N153" s="476"/>
      <c r="O153" s="59"/>
    </row>
    <row r="154" s="23" customFormat="1" ht="15" customHeight="1" outlineLevel="1">
      <c r="C154" s="12"/>
      <c r="D154" s="14"/>
      <c r="E154" s="14"/>
      <c r="F154" s="14"/>
      <c r="G154" s="14"/>
      <c r="H154" s="14"/>
      <c r="I154" s="16"/>
      <c r="J154" s="16"/>
      <c r="K154" s="16"/>
      <c r="N154" s="132" t="s">
        <v>47</v>
      </c>
      <c r="O154" s="477"/>
    </row>
    <row r="155" s="23" customFormat="1" ht="15" customHeight="1">
      <c r="B155" s="67"/>
      <c r="C155" s="67"/>
      <c r="D155" s="289"/>
      <c r="E155" s="289"/>
      <c r="F155" s="289"/>
      <c r="G155" s="289"/>
      <c r="H155" s="289"/>
      <c r="I155" s="289"/>
      <c r="J155" s="289"/>
      <c r="K155" s="289"/>
      <c r="L155" s="289"/>
      <c r="M155" s="67"/>
      <c r="N155" s="4"/>
      <c r="O155" s="477"/>
    </row>
    <row r="156" s="23" customFormat="1" ht="15" customHeight="1">
      <c r="A156" s="23" t="s">
        <v>0</v>
      </c>
      <c r="B156" s="432"/>
      <c r="C156" s="432"/>
      <c r="D156" s="432"/>
      <c r="E156" s="432"/>
      <c r="F156" s="432"/>
      <c r="G156" s="432"/>
      <c r="H156" s="432"/>
      <c r="I156" s="432"/>
      <c r="J156" s="432"/>
      <c r="K156" s="432"/>
      <c r="L156" s="432"/>
      <c r="M156" s="432"/>
      <c r="N156" s="432"/>
      <c r="O156" s="477"/>
    </row>
    <row r="157" s="23" customFormat="1" ht="15" customHeight="1" outlineLevel="1">
      <c r="B157" s="73"/>
      <c r="C157" s="67"/>
      <c r="D157" s="399"/>
      <c r="E157" s="67"/>
      <c r="F157" s="289"/>
      <c r="G157" s="289"/>
      <c r="H157" s="289"/>
      <c r="I157" s="289"/>
      <c r="J157" s="289"/>
      <c r="K157" s="289"/>
      <c r="L157" s="289"/>
      <c r="M157" s="289"/>
      <c r="N157" s="289"/>
      <c r="O157" s="477"/>
    </row>
    <row r="158" s="23" customFormat="1" ht="15" customHeight="1" outlineLevel="1">
      <c r="B158" s="478" t="s">
        <v>216</v>
      </c>
      <c r="C158" s="7"/>
      <c r="D158" s="459"/>
      <c r="E158" s="459"/>
      <c r="F158" s="9"/>
      <c r="G158" s="9"/>
      <c r="H158" s="9"/>
      <c r="I158" s="460"/>
      <c r="J158" s="461"/>
      <c r="K158" s="461"/>
      <c r="L158" s="461"/>
      <c r="M158" s="461"/>
      <c r="N158" s="401"/>
      <c r="O158" s="477"/>
    </row>
    <row r="159" ht="15" customHeight="1" outlineLevel="1">
      <c r="A159" s="4"/>
      <c r="B159" s="176"/>
      <c r="C159" s="12"/>
      <c r="D159" s="13"/>
      <c r="E159" s="13"/>
      <c r="F159" s="10"/>
      <c r="G159" s="10"/>
      <c r="H159" s="10"/>
      <c r="I159" s="10"/>
      <c r="J159" s="10"/>
      <c r="K159" s="10"/>
      <c r="L159" s="10"/>
      <c r="M159" s="10"/>
      <c r="N159" s="23"/>
    </row>
    <row r="160" s="23" customFormat="1" ht="15" customHeight="1" outlineLevel="1">
      <c r="B160" s="11" t="s">
        <v>3</v>
      </c>
      <c r="C160" s="12"/>
      <c r="D160" s="14"/>
      <c r="E160" s="14"/>
      <c r="F160" s="388">
        <f t="shared" ref="F160:N160" si="116">F$3</f>
        <v>2020</v>
      </c>
      <c r="G160" s="388">
        <f t="shared" si="116"/>
        <v>2021</v>
      </c>
      <c r="H160" s="388">
        <f t="shared" si="116"/>
        <v>2022</v>
      </c>
      <c r="I160" s="389">
        <f t="shared" si="116"/>
        <v>2023</v>
      </c>
      <c r="J160" s="389">
        <f t="shared" si="116"/>
        <v>2024</v>
      </c>
      <c r="K160" s="389">
        <f t="shared" si="116"/>
        <v>2025</v>
      </c>
      <c r="L160" s="389">
        <f t="shared" si="116"/>
        <v>2026</v>
      </c>
      <c r="M160" s="389">
        <f t="shared" si="116"/>
        <v>2027</v>
      </c>
      <c r="N160" s="177" t="str">
        <f t="shared" si="116"/>
        <v>Term</v>
      </c>
      <c r="O160" s="438"/>
    </row>
    <row r="161" s="23" customFormat="1" ht="15" customHeight="1" outlineLevel="1">
      <c r="B161" s="11" t="str">
        <f>$B$4</f>
        <v xml:space="preserve">Model Running: Base Case Drivers</v>
      </c>
      <c r="C161" s="12"/>
      <c r="D161" s="14"/>
      <c r="E161" s="14"/>
      <c r="F161" s="14"/>
      <c r="G161" s="14"/>
      <c r="H161" s="14"/>
      <c r="I161" s="16"/>
      <c r="J161" s="16"/>
      <c r="K161" s="16"/>
      <c r="L161" s="16"/>
      <c r="M161" s="16"/>
      <c r="N161" s="16"/>
      <c r="O161" s="59"/>
    </row>
    <row r="162" s="23" customFormat="1" ht="15" customHeight="1" outlineLevel="1">
      <c r="B162" s="11"/>
      <c r="C162" s="12"/>
      <c r="D162" s="14"/>
      <c r="E162" s="14"/>
      <c r="F162" s="14"/>
      <c r="G162" s="14"/>
      <c r="H162" s="479"/>
      <c r="I162" s="479"/>
      <c r="J162" s="479"/>
      <c r="K162" s="479"/>
      <c r="L162" s="479"/>
      <c r="M162" s="479"/>
      <c r="O162" s="59"/>
    </row>
    <row r="163" s="23" customFormat="1" ht="15" customHeight="1" outlineLevel="1">
      <c r="B163" s="480" t="s">
        <v>217</v>
      </c>
      <c r="C163" s="12"/>
      <c r="D163" s="14"/>
      <c r="E163" s="14"/>
      <c r="F163" s="392">
        <v>9014.9999999999909</v>
      </c>
      <c r="G163" s="393">
        <v>11733</v>
      </c>
      <c r="H163" s="393">
        <v>11130</v>
      </c>
      <c r="I163" s="394">
        <f>Inputs!G24</f>
        <v>10000</v>
      </c>
      <c r="J163" s="394">
        <f>Inputs!H24</f>
        <v>8000</v>
      </c>
      <c r="K163" s="394">
        <f>Inputs!I24</f>
        <v>9000</v>
      </c>
      <c r="L163" s="394">
        <f>Inputs!J24</f>
        <v>5000</v>
      </c>
      <c r="M163" s="394">
        <f>Inputs!K24</f>
        <v>5000</v>
      </c>
      <c r="N163" s="394">
        <f>Inputs!L24</f>
        <v>6000</v>
      </c>
      <c r="O163" s="59"/>
      <c r="P163" s="23" t="s">
        <v>160</v>
      </c>
    </row>
    <row r="164" s="23" customFormat="1" ht="15" customHeight="1" outlineLevel="1">
      <c r="B164" s="481"/>
      <c r="C164" s="12"/>
      <c r="D164" s="14"/>
      <c r="E164" s="14"/>
      <c r="F164" s="400"/>
      <c r="G164" s="400"/>
      <c r="H164" s="400"/>
      <c r="I164" s="30"/>
      <c r="J164" s="30"/>
      <c r="K164" s="30"/>
      <c r="L164" s="30"/>
      <c r="M164" s="30"/>
      <c r="O164" s="59"/>
    </row>
    <row r="165" ht="15" customHeight="1" outlineLevel="1">
      <c r="A165" s="23"/>
      <c r="B165" s="11"/>
      <c r="C165" s="12"/>
      <c r="D165" s="14"/>
      <c r="E165" s="14"/>
      <c r="F165" s="14"/>
      <c r="G165" s="14"/>
      <c r="H165" s="14"/>
      <c r="I165" s="16"/>
      <c r="J165" s="16"/>
      <c r="K165" s="16"/>
      <c r="L165" s="16"/>
      <c r="M165" s="16"/>
      <c r="N165" s="23"/>
      <c r="O165" s="59"/>
    </row>
    <row r="166" s="23" customFormat="1" ht="15" customHeight="1" outlineLevel="1">
      <c r="B166" s="241" t="s">
        <v>218</v>
      </c>
      <c r="D166" s="482" t="s">
        <v>219</v>
      </c>
      <c r="E166" s="14"/>
      <c r="F166" s="14"/>
      <c r="G166" s="14"/>
      <c r="H166" s="14"/>
      <c r="I166" s="483" t="s">
        <v>220</v>
      </c>
      <c r="J166" s="484"/>
      <c r="K166" s="484"/>
      <c r="L166" s="484"/>
      <c r="M166" s="485"/>
    </row>
    <row r="167" s="23" customFormat="1" ht="15" customHeight="1" outlineLevel="1">
      <c r="B167" s="390" t="s">
        <v>134</v>
      </c>
      <c r="C167" s="486"/>
      <c r="D167" s="487">
        <f>Inputs!$L$115</f>
        <v>16</v>
      </c>
      <c r="E167" s="14"/>
      <c r="F167" s="488"/>
      <c r="G167" s="14"/>
      <c r="H167" s="14"/>
      <c r="I167" s="489">
        <v>1</v>
      </c>
      <c r="J167" s="490">
        <f>I167+1</f>
        <v>2</v>
      </c>
      <c r="K167" s="490">
        <f>J167+1</f>
        <v>3</v>
      </c>
      <c r="L167" s="490">
        <f>K167+1</f>
        <v>4</v>
      </c>
      <c r="M167" s="490">
        <f>L167+1</f>
        <v>5</v>
      </c>
      <c r="N167" s="491" t="s">
        <v>221</v>
      </c>
    </row>
    <row r="168" s="23" customFormat="1" ht="15" customHeight="1" outlineLevel="1">
      <c r="B168" s="408" t="str">
        <f>CONCATENATE("PP&amp;E at End of ",H160)</f>
        <v xml:space="preserve">PP&amp;E at End of 2022</v>
      </c>
      <c r="C168" s="492"/>
      <c r="D168" s="493">
        <f>Inputs!$L$103</f>
        <v>75407</v>
      </c>
      <c r="E168" s="14"/>
      <c r="F168" s="488"/>
      <c r="G168" s="14"/>
      <c r="H168" s="494"/>
      <c r="I168" s="495">
        <f>MIN($D167-SUM($H168:H168),1)</f>
        <v>1</v>
      </c>
      <c r="J168" s="495">
        <f>MIN($D167-SUM($H168:I168),1)</f>
        <v>1</v>
      </c>
      <c r="K168" s="495">
        <f>MIN($D167-SUM($H168:J168),1)</f>
        <v>1</v>
      </c>
      <c r="L168" s="495">
        <f>MIN($D167-SUM($H168:K168),1)</f>
        <v>1</v>
      </c>
      <c r="M168" s="496">
        <f>MIN($D167-SUM($H168:L168),1)</f>
        <v>1</v>
      </c>
      <c r="N168" s="496">
        <f>MIN($D167-SUM($H168:M168),1)</f>
        <v>1</v>
      </c>
      <c r="O168" s="438"/>
      <c r="P168" s="23" t="s">
        <v>160</v>
      </c>
    </row>
    <row r="169" s="23" customFormat="1" ht="15" customHeight="1" outlineLevel="1">
      <c r="B169" s="73"/>
      <c r="C169" s="497"/>
      <c r="D169" s="498"/>
      <c r="E169" s="14"/>
      <c r="F169" s="14"/>
      <c r="G169" s="14"/>
      <c r="H169" s="14"/>
      <c r="I169" s="499"/>
      <c r="J169" s="499"/>
      <c r="K169" s="499"/>
      <c r="L169" s="499"/>
      <c r="M169" s="499"/>
      <c r="O169" s="438"/>
    </row>
    <row r="170" s="23" customFormat="1" ht="15" customHeight="1" outlineLevel="1">
      <c r="B170" s="500"/>
      <c r="C170" s="281"/>
      <c r="D170" s="501"/>
      <c r="E170" s="501"/>
      <c r="F170" s="501"/>
      <c r="G170" s="501"/>
      <c r="H170" s="501"/>
      <c r="I170" s="502"/>
      <c r="J170" s="502"/>
      <c r="K170" s="502"/>
      <c r="L170" s="502"/>
      <c r="M170" s="502"/>
      <c r="O170" s="59"/>
    </row>
    <row r="171" s="23" customFormat="1" ht="15" customHeight="1" outlineLevel="1">
      <c r="B171" s="11"/>
      <c r="C171" s="12"/>
      <c r="D171" s="14"/>
      <c r="E171" s="14"/>
      <c r="F171" s="14"/>
      <c r="G171" s="14"/>
      <c r="H171" s="14"/>
      <c r="I171" s="16"/>
      <c r="J171" s="16"/>
      <c r="K171" s="16"/>
      <c r="L171" s="16"/>
      <c r="M171" s="16"/>
      <c r="O171" s="59"/>
    </row>
    <row r="172" s="23" customFormat="1" ht="15" customHeight="1" outlineLevel="1">
      <c r="B172" s="241" t="s">
        <v>222</v>
      </c>
      <c r="D172" s="482" t="s">
        <v>219</v>
      </c>
      <c r="E172" s="14"/>
      <c r="F172" s="14"/>
      <c r="G172" s="14"/>
      <c r="H172" s="14"/>
      <c r="I172" s="483" t="s">
        <v>220</v>
      </c>
      <c r="J172" s="484"/>
      <c r="K172" s="484"/>
      <c r="L172" s="484"/>
      <c r="M172" s="485"/>
      <c r="O172" s="438"/>
    </row>
    <row r="173" s="23" customFormat="1" ht="15" customHeight="1" outlineLevel="1">
      <c r="B173" s="390" t="s">
        <v>137</v>
      </c>
      <c r="C173" s="486"/>
      <c r="D173" s="487">
        <f>Inputs!$L$116</f>
        <v>20</v>
      </c>
      <c r="E173" s="14"/>
      <c r="F173" s="14"/>
      <c r="G173" s="14"/>
      <c r="H173" s="14"/>
      <c r="I173" s="503">
        <v>1</v>
      </c>
      <c r="J173" s="504">
        <f>I173+1</f>
        <v>2</v>
      </c>
      <c r="K173" s="504">
        <f>J173+1</f>
        <v>3</v>
      </c>
      <c r="L173" s="504">
        <f>K173+1</f>
        <v>4</v>
      </c>
      <c r="M173" s="504">
        <f>L173+1</f>
        <v>5</v>
      </c>
      <c r="N173" s="491" t="s">
        <v>221</v>
      </c>
      <c r="O173" s="59"/>
    </row>
    <row r="174" s="23" customFormat="1" ht="15" customHeight="1" outlineLevel="1">
      <c r="B174" s="408" t="s">
        <v>133</v>
      </c>
      <c r="C174" s="492"/>
      <c r="D174" s="505">
        <f>Inputs!$L$114</f>
        <v>0.5</v>
      </c>
      <c r="E174" s="14"/>
      <c r="F174" s="14"/>
      <c r="G174" s="14"/>
      <c r="H174" s="14"/>
      <c r="I174" s="506">
        <f>IF(H174="",$D$174,MIN($D173-SUM($H174:H174),1))</f>
        <v>0.5</v>
      </c>
      <c r="J174" s="507">
        <f>IF(I174="",$D$174,MIN($D173-SUM($H174:I174),1))</f>
        <v>1</v>
      </c>
      <c r="K174" s="507">
        <f>IF(J174="",$D$174,MIN($D173-SUM($H174:J174),1))</f>
        <v>1</v>
      </c>
      <c r="L174" s="507">
        <f>IF(K174="",$D$174,MIN($D173-SUM($H174:K174),1))</f>
        <v>1</v>
      </c>
      <c r="M174" s="505">
        <f>IF(L174="",$D$174,MIN($D173-SUM($H174:L174),1))</f>
        <v>1</v>
      </c>
      <c r="N174" s="505">
        <f>IF(M174="",$D$174,MIN($D173-SUM($H174:M174),1))</f>
        <v>1</v>
      </c>
      <c r="O174" s="59"/>
      <c r="P174" s="23" t="s">
        <v>160</v>
      </c>
    </row>
    <row r="175" s="23" customFormat="1" ht="15" customHeight="1" outlineLevel="1">
      <c r="B175" s="73"/>
      <c r="D175" s="508"/>
      <c r="E175" s="14"/>
      <c r="F175" s="14"/>
      <c r="G175" s="14"/>
      <c r="H175" s="14"/>
      <c r="I175" s="499"/>
      <c r="J175" s="499"/>
      <c r="K175" s="499"/>
      <c r="L175" s="499"/>
      <c r="M175" s="499"/>
      <c r="O175" s="59"/>
    </row>
    <row r="176" s="23" customFormat="1" ht="15" customHeight="1" outlineLevel="1">
      <c r="B176" s="11"/>
      <c r="C176" s="12"/>
      <c r="D176" s="14"/>
      <c r="E176" s="14"/>
      <c r="F176" s="14"/>
      <c r="G176" s="14"/>
      <c r="H176" s="14"/>
      <c r="I176" s="483" t="s">
        <v>220</v>
      </c>
      <c r="J176" s="484"/>
      <c r="K176" s="484"/>
      <c r="L176" s="484"/>
      <c r="M176" s="485"/>
      <c r="O176" s="59"/>
    </row>
    <row r="177" s="23" customFormat="1" ht="15" customHeight="1" outlineLevel="1">
      <c r="D177" s="61"/>
      <c r="F177" s="61" t="s">
        <v>223</v>
      </c>
      <c r="G177" s="61" t="s">
        <v>224</v>
      </c>
      <c r="H177" s="14"/>
      <c r="I177" s="509">
        <f>I$160</f>
        <v>2023</v>
      </c>
      <c r="J177" s="509">
        <f>J$160</f>
        <v>2024</v>
      </c>
      <c r="K177" s="509">
        <f>K$160</f>
        <v>2025</v>
      </c>
      <c r="L177" s="509">
        <f>L$160</f>
        <v>2026</v>
      </c>
      <c r="M177" s="509">
        <f>M$160</f>
        <v>2027</v>
      </c>
      <c r="N177" s="491" t="s">
        <v>221</v>
      </c>
      <c r="O177" s="438"/>
    </row>
    <row r="178" s="23" customFormat="1" ht="15" customHeight="1" outlineLevel="1">
      <c r="B178" s="11"/>
      <c r="D178" s="61"/>
      <c r="F178" s="510">
        <f>I160</f>
        <v>2023</v>
      </c>
      <c r="G178" s="511">
        <f t="shared" ref="G178:G183" si="117">$D$173</f>
        <v>20</v>
      </c>
      <c r="H178" s="512"/>
      <c r="I178" s="513">
        <f t="shared" ref="I178:N178" si="118">I174</f>
        <v>0.5</v>
      </c>
      <c r="J178" s="513">
        <f t="shared" si="118"/>
        <v>1</v>
      </c>
      <c r="K178" s="513">
        <f t="shared" si="118"/>
        <v>1</v>
      </c>
      <c r="L178" s="513">
        <f t="shared" si="118"/>
        <v>1</v>
      </c>
      <c r="M178" s="514">
        <f t="shared" si="118"/>
        <v>1</v>
      </c>
      <c r="N178" s="514">
        <f t="shared" si="118"/>
        <v>1</v>
      </c>
      <c r="O178" s="438"/>
      <c r="P178" s="23" t="s">
        <v>160</v>
      </c>
    </row>
    <row r="179" s="23" customFormat="1" ht="15" customHeight="1" outlineLevel="1">
      <c r="B179" s="11"/>
      <c r="D179" s="61"/>
      <c r="F179" s="515">
        <f t="shared" ref="F179:F182" si="119">F178+1</f>
        <v>2024</v>
      </c>
      <c r="G179" s="516">
        <f t="shared" si="117"/>
        <v>20</v>
      </c>
      <c r="H179" s="517"/>
      <c r="I179" s="518">
        <f t="shared" ref="I179:N183" si="120">H178</f>
        <v>0</v>
      </c>
      <c r="J179" s="518">
        <f t="shared" si="120"/>
        <v>0.5</v>
      </c>
      <c r="K179" s="518">
        <f t="shared" si="120"/>
        <v>1</v>
      </c>
      <c r="L179" s="518">
        <f t="shared" si="120"/>
        <v>1</v>
      </c>
      <c r="M179" s="519">
        <f t="shared" si="120"/>
        <v>1</v>
      </c>
      <c r="N179" s="519">
        <f>M178</f>
        <v>1</v>
      </c>
      <c r="O179" s="519">
        <f>N178</f>
        <v>1</v>
      </c>
      <c r="P179" s="23" t="s">
        <v>160</v>
      </c>
    </row>
    <row r="180" s="23" customFormat="1" ht="15" customHeight="1" outlineLevel="1">
      <c r="B180" s="11"/>
      <c r="D180" s="61"/>
      <c r="F180" s="515">
        <f t="shared" si="119"/>
        <v>2025</v>
      </c>
      <c r="G180" s="516">
        <f t="shared" si="117"/>
        <v>20</v>
      </c>
      <c r="H180" s="517"/>
      <c r="I180" s="518">
        <f t="shared" si="120"/>
        <v>0</v>
      </c>
      <c r="J180" s="518">
        <f t="shared" si="120"/>
        <v>0</v>
      </c>
      <c r="K180" s="518">
        <f t="shared" si="120"/>
        <v>0.5</v>
      </c>
      <c r="L180" s="518">
        <f t="shared" si="120"/>
        <v>1</v>
      </c>
      <c r="M180" s="519">
        <f t="shared" si="120"/>
        <v>1</v>
      </c>
      <c r="N180" s="519">
        <f t="shared" si="120"/>
        <v>1</v>
      </c>
      <c r="O180" s="438"/>
      <c r="P180" s="23" t="s">
        <v>160</v>
      </c>
    </row>
    <row r="181" s="23" customFormat="1" ht="15" customHeight="1" outlineLevel="1">
      <c r="B181" s="11"/>
      <c r="D181" s="61"/>
      <c r="F181" s="515">
        <f t="shared" si="119"/>
        <v>2026</v>
      </c>
      <c r="G181" s="516">
        <f t="shared" si="117"/>
        <v>20</v>
      </c>
      <c r="H181" s="517"/>
      <c r="I181" s="518">
        <f t="shared" si="120"/>
        <v>0</v>
      </c>
      <c r="J181" s="518">
        <f t="shared" si="120"/>
        <v>0</v>
      </c>
      <c r="K181" s="518">
        <f t="shared" si="120"/>
        <v>0</v>
      </c>
      <c r="L181" s="518">
        <f t="shared" si="120"/>
        <v>0.5</v>
      </c>
      <c r="M181" s="519">
        <f t="shared" si="120"/>
        <v>1</v>
      </c>
      <c r="N181" s="519">
        <f t="shared" si="120"/>
        <v>1</v>
      </c>
      <c r="O181" s="438"/>
      <c r="P181" s="23" t="s">
        <v>160</v>
      </c>
    </row>
    <row r="182" s="23" customFormat="1" ht="15" customHeight="1" outlineLevel="1">
      <c r="B182" s="11"/>
      <c r="D182" s="61"/>
      <c r="F182" s="520">
        <f t="shared" si="119"/>
        <v>2027</v>
      </c>
      <c r="G182" s="516">
        <f t="shared" si="117"/>
        <v>20</v>
      </c>
      <c r="H182" s="521"/>
      <c r="I182" s="522">
        <f t="shared" si="120"/>
        <v>0</v>
      </c>
      <c r="J182" s="522">
        <f t="shared" si="120"/>
        <v>0</v>
      </c>
      <c r="K182" s="522">
        <f t="shared" si="120"/>
        <v>0</v>
      </c>
      <c r="L182" s="522">
        <f t="shared" si="120"/>
        <v>0</v>
      </c>
      <c r="M182" s="523">
        <f t="shared" si="120"/>
        <v>0.5</v>
      </c>
      <c r="N182" s="523">
        <f t="shared" si="120"/>
        <v>1</v>
      </c>
      <c r="O182" s="438"/>
      <c r="P182" s="23" t="s">
        <v>160</v>
      </c>
    </row>
    <row r="183" s="23" customFormat="1" ht="15" customHeight="1" outlineLevel="1">
      <c r="B183" s="11"/>
      <c r="C183" s="12"/>
      <c r="D183" s="61"/>
      <c r="E183" s="14"/>
      <c r="F183" s="524" t="s">
        <v>31</v>
      </c>
      <c r="G183" s="516">
        <f t="shared" si="117"/>
        <v>20</v>
      </c>
      <c r="H183" s="14"/>
      <c r="I183" s="522">
        <f t="shared" si="120"/>
        <v>0</v>
      </c>
      <c r="J183" s="522">
        <f>I182</f>
        <v>0</v>
      </c>
      <c r="K183" s="522">
        <f>J182</f>
        <v>0</v>
      </c>
      <c r="L183" s="522">
        <f>K182</f>
        <v>0</v>
      </c>
      <c r="M183" s="523">
        <f>L182</f>
        <v>0</v>
      </c>
      <c r="N183" s="523">
        <f t="shared" si="120"/>
        <v>0.5</v>
      </c>
      <c r="O183" s="523">
        <f>N182</f>
        <v>1</v>
      </c>
      <c r="P183" s="23" t="s">
        <v>160</v>
      </c>
    </row>
    <row r="184" s="23" customFormat="1" ht="15" customHeight="1" outlineLevel="1">
      <c r="B184" s="11"/>
      <c r="C184" s="12"/>
      <c r="D184" s="14"/>
      <c r="E184" s="14"/>
      <c r="F184" s="14"/>
      <c r="G184" s="14"/>
      <c r="H184" s="14"/>
      <c r="I184" s="483" t="s">
        <v>225</v>
      </c>
      <c r="J184" s="484"/>
      <c r="K184" s="484"/>
      <c r="L184" s="484"/>
      <c r="M184" s="485"/>
      <c r="O184" s="438"/>
    </row>
    <row r="185" s="23" customFormat="1" ht="15" customHeight="1" outlineLevel="1">
      <c r="E185" s="14"/>
      <c r="F185" s="61" t="s">
        <v>223</v>
      </c>
      <c r="G185" s="61" t="s">
        <v>226</v>
      </c>
      <c r="H185" s="61" t="s">
        <v>227</v>
      </c>
      <c r="I185" s="509">
        <f>I$160</f>
        <v>2023</v>
      </c>
      <c r="J185" s="509">
        <f>J$160</f>
        <v>2024</v>
      </c>
      <c r="K185" s="509">
        <f>K$160</f>
        <v>2025</v>
      </c>
      <c r="L185" s="509">
        <f>L$160</f>
        <v>2026</v>
      </c>
      <c r="M185" s="509">
        <f>M$160</f>
        <v>2027</v>
      </c>
      <c r="N185" s="491" t="s">
        <v>31</v>
      </c>
      <c r="O185" s="438"/>
    </row>
    <row r="186" s="23" customFormat="1" ht="15" customHeight="1" outlineLevel="1">
      <c r="B186" s="11"/>
      <c r="E186" s="14"/>
      <c r="F186" s="510">
        <f t="shared" ref="F186:F190" si="121">F178</f>
        <v>2023</v>
      </c>
      <c r="G186" s="525">
        <f t="shared" ref="G186:G191" si="122">SUMIF($I$160:$N$160,F186,$I$163:$N$163)</f>
        <v>10000</v>
      </c>
      <c r="H186" s="526">
        <f t="shared" ref="H186:H191" si="123">G186/G178</f>
        <v>500</v>
      </c>
      <c r="I186" s="527">
        <f t="shared" ref="I186:N191" si="124">$H186*I178</f>
        <v>250</v>
      </c>
      <c r="J186" s="527">
        <f t="shared" si="124"/>
        <v>500</v>
      </c>
      <c r="K186" s="527">
        <f t="shared" si="124"/>
        <v>500</v>
      </c>
      <c r="L186" s="527">
        <f t="shared" si="124"/>
        <v>500</v>
      </c>
      <c r="M186" s="528">
        <f t="shared" si="124"/>
        <v>500</v>
      </c>
      <c r="N186" s="528">
        <f t="shared" si="124"/>
        <v>500</v>
      </c>
      <c r="O186" s="438"/>
      <c r="P186" s="23" t="s">
        <v>160</v>
      </c>
    </row>
    <row r="187" s="23" customFormat="1" ht="15" customHeight="1" outlineLevel="1">
      <c r="B187" s="11"/>
      <c r="E187" s="14"/>
      <c r="F187" s="515">
        <f t="shared" si="121"/>
        <v>2024</v>
      </c>
      <c r="G187" s="529">
        <f t="shared" si="122"/>
        <v>8000</v>
      </c>
      <c r="H187" s="530">
        <f t="shared" si="123"/>
        <v>400</v>
      </c>
      <c r="I187" s="411">
        <f t="shared" si="124"/>
        <v>0</v>
      </c>
      <c r="J187" s="411">
        <f t="shared" si="124"/>
        <v>200</v>
      </c>
      <c r="K187" s="411">
        <f t="shared" si="124"/>
        <v>400</v>
      </c>
      <c r="L187" s="411">
        <f t="shared" si="124"/>
        <v>400</v>
      </c>
      <c r="M187" s="531">
        <f t="shared" si="124"/>
        <v>400</v>
      </c>
      <c r="N187" s="528">
        <f t="shared" ref="N187:N191" si="125">$H187*N179</f>
        <v>400</v>
      </c>
      <c r="O187" s="438"/>
      <c r="P187" s="23" t="s">
        <v>160</v>
      </c>
    </row>
    <row r="188" s="23" customFormat="1" ht="15" customHeight="1" outlineLevel="1">
      <c r="B188" s="11"/>
      <c r="E188" s="14"/>
      <c r="F188" s="515">
        <f t="shared" si="121"/>
        <v>2025</v>
      </c>
      <c r="G188" s="529">
        <f t="shared" si="122"/>
        <v>9000</v>
      </c>
      <c r="H188" s="530">
        <f t="shared" si="123"/>
        <v>450</v>
      </c>
      <c r="I188" s="411">
        <f t="shared" si="124"/>
        <v>0</v>
      </c>
      <c r="J188" s="411">
        <f t="shared" si="124"/>
        <v>0</v>
      </c>
      <c r="K188" s="411">
        <f t="shared" si="124"/>
        <v>225</v>
      </c>
      <c r="L188" s="411">
        <f t="shared" si="124"/>
        <v>450</v>
      </c>
      <c r="M188" s="531">
        <f t="shared" si="124"/>
        <v>450</v>
      </c>
      <c r="N188" s="528">
        <f t="shared" si="125"/>
        <v>450</v>
      </c>
      <c r="P188" s="23" t="s">
        <v>160</v>
      </c>
    </row>
    <row r="189" s="23" customFormat="1" ht="15" customHeight="1" outlineLevel="1">
      <c r="B189" s="11"/>
      <c r="E189" s="14"/>
      <c r="F189" s="515">
        <f t="shared" si="121"/>
        <v>2026</v>
      </c>
      <c r="G189" s="529">
        <f t="shared" si="122"/>
        <v>5000</v>
      </c>
      <c r="H189" s="530">
        <f t="shared" si="123"/>
        <v>250</v>
      </c>
      <c r="I189" s="411">
        <f t="shared" si="124"/>
        <v>0</v>
      </c>
      <c r="J189" s="411">
        <f t="shared" si="124"/>
        <v>0</v>
      </c>
      <c r="K189" s="411">
        <f t="shared" si="124"/>
        <v>0</v>
      </c>
      <c r="L189" s="411">
        <f t="shared" si="124"/>
        <v>125</v>
      </c>
      <c r="M189" s="531">
        <f t="shared" si="124"/>
        <v>250</v>
      </c>
      <c r="N189" s="528">
        <f t="shared" si="125"/>
        <v>250</v>
      </c>
      <c r="P189" s="23" t="s">
        <v>160</v>
      </c>
    </row>
    <row r="190" s="23" customFormat="1" ht="15" customHeight="1" outlineLevel="1">
      <c r="B190" s="11"/>
      <c r="E190" s="14"/>
      <c r="F190" s="520">
        <f t="shared" si="121"/>
        <v>2027</v>
      </c>
      <c r="G190" s="532">
        <f t="shared" si="122"/>
        <v>5000</v>
      </c>
      <c r="H190" s="533">
        <f t="shared" si="123"/>
        <v>250</v>
      </c>
      <c r="I190" s="413">
        <f t="shared" si="124"/>
        <v>0</v>
      </c>
      <c r="J190" s="413">
        <f t="shared" si="124"/>
        <v>0</v>
      </c>
      <c r="K190" s="413">
        <f t="shared" si="124"/>
        <v>0</v>
      </c>
      <c r="L190" s="413">
        <f t="shared" si="124"/>
        <v>0</v>
      </c>
      <c r="M190" s="493">
        <f t="shared" si="124"/>
        <v>125</v>
      </c>
      <c r="N190" s="528">
        <f t="shared" si="125"/>
        <v>250</v>
      </c>
      <c r="P190" s="23" t="s">
        <v>160</v>
      </c>
    </row>
    <row r="191" s="23" customFormat="1" ht="15" customHeight="1" outlineLevel="1">
      <c r="B191" s="11"/>
      <c r="E191" s="14"/>
      <c r="F191" s="524" t="s">
        <v>31</v>
      </c>
      <c r="G191" s="532">
        <f t="shared" si="122"/>
        <v>6000</v>
      </c>
      <c r="H191" s="533">
        <f t="shared" si="123"/>
        <v>300</v>
      </c>
      <c r="I191" s="413">
        <f t="shared" si="124"/>
        <v>0</v>
      </c>
      <c r="J191" s="413">
        <f t="shared" si="124"/>
        <v>0</v>
      </c>
      <c r="K191" s="413">
        <f t="shared" si="124"/>
        <v>0</v>
      </c>
      <c r="L191" s="413">
        <f t="shared" si="124"/>
        <v>0</v>
      </c>
      <c r="M191" s="493">
        <f t="shared" si="124"/>
        <v>0</v>
      </c>
      <c r="N191" s="528">
        <f t="shared" si="125"/>
        <v>150</v>
      </c>
      <c r="P191" s="23" t="s">
        <v>160</v>
      </c>
    </row>
    <row r="192" s="23" customFormat="1" ht="15" customHeight="1" outlineLevel="1">
      <c r="B192" s="500"/>
      <c r="C192" s="281"/>
      <c r="D192" s="501"/>
      <c r="E192" s="501"/>
      <c r="F192" s="501"/>
      <c r="G192" s="501"/>
      <c r="H192" s="501"/>
      <c r="I192" s="502"/>
      <c r="J192" s="502"/>
      <c r="K192" s="502"/>
      <c r="L192" s="502"/>
      <c r="M192" s="502"/>
      <c r="O192" s="59"/>
    </row>
    <row r="193" s="4" customFormat="1" ht="15" customHeight="1" outlineLevel="1">
      <c r="B193" s="11"/>
      <c r="C193" s="12"/>
      <c r="D193" s="14"/>
      <c r="E193" s="14"/>
      <c r="F193" s="14"/>
      <c r="G193" s="14"/>
      <c r="H193" s="14"/>
      <c r="I193" s="16"/>
      <c r="J193" s="16"/>
      <c r="K193" s="16"/>
      <c r="L193" s="16"/>
      <c r="M193" s="16"/>
      <c r="N193" s="23"/>
      <c r="O193" s="4"/>
    </row>
    <row r="194" s="23" customFormat="1" ht="15" customHeight="1" outlineLevel="1">
      <c r="B194" s="241" t="s">
        <v>228</v>
      </c>
      <c r="C194" s="12"/>
      <c r="D194" s="14"/>
      <c r="E194" s="14"/>
      <c r="F194" s="14"/>
      <c r="G194" s="14"/>
      <c r="H194" s="14"/>
      <c r="I194" s="16"/>
      <c r="J194" s="16"/>
      <c r="K194" s="16"/>
      <c r="L194" s="16"/>
      <c r="M194" s="16"/>
      <c r="O194" s="59"/>
    </row>
    <row r="195" s="23" customFormat="1" ht="15" customHeight="1" outlineLevel="1">
      <c r="B195" s="284" t="s">
        <v>229</v>
      </c>
      <c r="C195" s="12"/>
      <c r="D195" s="14"/>
      <c r="E195" s="14"/>
      <c r="F195" s="289"/>
      <c r="G195" s="289"/>
      <c r="H195" s="289"/>
      <c r="I195" s="465">
        <f t="shared" ref="I195:N195" si="126">($D$168/$D$167)*I168</f>
        <v>4712.9375</v>
      </c>
      <c r="J195" s="465">
        <f t="shared" si="126"/>
        <v>4712.9375</v>
      </c>
      <c r="K195" s="465">
        <f t="shared" si="126"/>
        <v>4712.9375</v>
      </c>
      <c r="L195" s="465">
        <f t="shared" si="126"/>
        <v>4712.9375</v>
      </c>
      <c r="M195" s="465">
        <f t="shared" si="126"/>
        <v>4712.9375</v>
      </c>
      <c r="N195" s="465">
        <f t="shared" si="126"/>
        <v>4712.9375</v>
      </c>
      <c r="O195" s="59"/>
      <c r="P195" s="23" t="s">
        <v>160</v>
      </c>
    </row>
    <row r="196" s="23" customFormat="1" ht="15" customHeight="1" outlineLevel="1">
      <c r="B196" s="284" t="s">
        <v>230</v>
      </c>
      <c r="C196" s="12"/>
      <c r="D196" s="14"/>
      <c r="E196" s="14"/>
      <c r="F196" s="14"/>
      <c r="G196" s="14"/>
      <c r="H196" s="14"/>
      <c r="I196" s="465">
        <f>SUM(I186:I190)</f>
        <v>250</v>
      </c>
      <c r="J196" s="465">
        <f>SUM(J186:J190)</f>
        <v>700</v>
      </c>
      <c r="K196" s="465">
        <f>SUM(K186:K190)</f>
        <v>1125</v>
      </c>
      <c r="L196" s="465">
        <f>SUM(L186:L190)</f>
        <v>1475</v>
      </c>
      <c r="M196" s="465">
        <f>SUM(M186:M190)</f>
        <v>1725</v>
      </c>
      <c r="N196" s="465">
        <f>SUM(N186:N191)</f>
        <v>2000</v>
      </c>
      <c r="O196" s="59"/>
      <c r="P196" s="23" t="s">
        <v>160</v>
      </c>
    </row>
    <row r="197" s="23" customFormat="1" ht="15" customHeight="1" outlineLevel="1">
      <c r="B197" s="284" t="s">
        <v>231</v>
      </c>
      <c r="C197" s="12"/>
      <c r="D197" s="426" t="str">
        <f>'Model-R'!S200</f>
        <v>COMPLETE</v>
      </c>
      <c r="E197" s="14"/>
      <c r="F197" s="14"/>
      <c r="G197" s="14"/>
      <c r="H197" s="14"/>
      <c r="I197" s="534">
        <f t="shared" ref="I197:N197" si="127">SUM(I195:I196)</f>
        <v>4962.9375</v>
      </c>
      <c r="J197" s="534">
        <f t="shared" si="127"/>
        <v>5412.9375</v>
      </c>
      <c r="K197" s="534">
        <f t="shared" si="127"/>
        <v>5837.9375</v>
      </c>
      <c r="L197" s="534">
        <f t="shared" si="127"/>
        <v>6187.9375</v>
      </c>
      <c r="M197" s="534">
        <f t="shared" si="127"/>
        <v>6437.9375</v>
      </c>
      <c r="N197" s="534">
        <f t="shared" si="127"/>
        <v>6712.9375</v>
      </c>
      <c r="O197" s="438"/>
      <c r="P197" s="23" t="s">
        <v>160</v>
      </c>
    </row>
    <row r="198" s="23" customFormat="1" ht="15" customHeight="1">
      <c r="B198" s="11"/>
      <c r="C198" s="12"/>
      <c r="D198" s="14"/>
      <c r="E198" s="14"/>
      <c r="F198" s="14"/>
      <c r="G198" s="14"/>
      <c r="H198" s="14"/>
      <c r="I198" s="289"/>
      <c r="J198" s="289"/>
      <c r="K198" s="289"/>
      <c r="L198" s="289"/>
      <c r="M198" s="289"/>
      <c r="O198" s="438"/>
    </row>
    <row r="199" s="23" customFormat="1" ht="15" customHeight="1">
      <c r="A199" s="23" t="s">
        <v>0</v>
      </c>
      <c r="B199" s="11"/>
      <c r="C199" s="12"/>
      <c r="D199" s="14"/>
      <c r="E199" s="14"/>
      <c r="F199" s="14"/>
      <c r="G199" s="14"/>
      <c r="H199" s="14"/>
      <c r="I199" s="289"/>
      <c r="J199" s="289"/>
      <c r="K199" s="289"/>
      <c r="L199" s="289"/>
      <c r="M199" s="289"/>
      <c r="O199" s="438"/>
    </row>
    <row r="200" s="23" customFormat="1" ht="15" customHeight="1" outlineLevel="1">
      <c r="C200" s="12"/>
      <c r="D200" s="14"/>
      <c r="E200" s="14"/>
      <c r="F200" s="14"/>
      <c r="G200" s="14"/>
      <c r="H200" s="14"/>
      <c r="I200" s="16"/>
      <c r="J200" s="16"/>
      <c r="K200" s="16"/>
      <c r="L200" s="16"/>
      <c r="M200" s="132" t="s">
        <v>232</v>
      </c>
      <c r="O200" s="477"/>
    </row>
    <row r="201" s="23" customFormat="1" ht="15" customHeight="1" outlineLevel="1">
      <c r="C201" s="12"/>
      <c r="D201" s="14"/>
      <c r="E201" s="14"/>
      <c r="F201" s="14"/>
      <c r="G201" s="14"/>
      <c r="H201" s="14"/>
      <c r="I201" s="16"/>
      <c r="J201" s="16"/>
      <c r="K201" s="16"/>
      <c r="L201" s="16"/>
      <c r="M201" s="535" t="s">
        <v>233</v>
      </c>
      <c r="O201" s="438"/>
    </row>
    <row r="202" ht="15" customHeight="1" outlineLevel="1">
      <c r="A202" s="4"/>
      <c r="B202" s="23"/>
      <c r="C202" s="12"/>
      <c r="D202" s="14"/>
      <c r="E202" s="14"/>
      <c r="F202" s="14"/>
      <c r="G202" s="14"/>
      <c r="H202" s="14"/>
      <c r="I202" s="16"/>
      <c r="J202" s="16"/>
      <c r="K202" s="16"/>
      <c r="L202" s="16"/>
      <c r="M202" s="536"/>
      <c r="N202" s="23"/>
    </row>
    <row r="203" s="23" customFormat="1" ht="15" customHeight="1" outlineLevel="1">
      <c r="B203" s="500"/>
      <c r="C203" s="281"/>
      <c r="D203" s="501"/>
      <c r="E203" s="501"/>
      <c r="F203" s="501"/>
      <c r="G203" s="501"/>
      <c r="H203" s="501"/>
      <c r="I203" s="502"/>
      <c r="J203" s="502"/>
      <c r="K203" s="502"/>
      <c r="L203" s="502"/>
      <c r="M203" s="502"/>
      <c r="N203" s="502"/>
      <c r="O203" s="438"/>
    </row>
    <row r="204" s="23" customFormat="1" ht="15" customHeight="1" outlineLevel="1">
      <c r="B204" s="11"/>
      <c r="C204" s="12"/>
      <c r="D204" s="14"/>
      <c r="E204" s="14"/>
      <c r="F204" s="14"/>
      <c r="G204" s="14"/>
      <c r="H204" s="14"/>
      <c r="I204" s="16"/>
      <c r="J204" s="16"/>
      <c r="K204" s="16"/>
      <c r="L204" s="16"/>
      <c r="M204" s="16"/>
      <c r="N204" s="16"/>
      <c r="O204" s="59"/>
    </row>
    <row r="205" s="23" customFormat="1" ht="15" customHeight="1" outlineLevel="1">
      <c r="B205" s="6" t="s">
        <v>234</v>
      </c>
      <c r="C205" s="7"/>
      <c r="D205" s="459"/>
      <c r="E205" s="459"/>
      <c r="F205" s="9"/>
      <c r="G205" s="9"/>
      <c r="H205" s="9"/>
      <c r="I205" s="460"/>
      <c r="J205" s="461"/>
      <c r="K205" s="461"/>
      <c r="L205" s="461"/>
      <c r="M205" s="461"/>
      <c r="N205" s="401"/>
      <c r="O205" s="59"/>
    </row>
    <row r="206" s="23" customFormat="1" ht="15" customHeight="1" outlineLevel="1">
      <c r="B206" s="176"/>
      <c r="C206" s="12"/>
      <c r="D206" s="13"/>
      <c r="E206" s="13"/>
      <c r="F206" s="10"/>
      <c r="G206" s="10"/>
      <c r="H206" s="10"/>
      <c r="I206" s="10"/>
      <c r="J206" s="10"/>
      <c r="K206" s="10"/>
      <c r="L206" s="10"/>
      <c r="M206" s="10"/>
      <c r="O206" s="59"/>
    </row>
    <row r="207" s="23" customFormat="1" ht="15" customHeight="1" outlineLevel="1">
      <c r="B207" s="11" t="s">
        <v>3</v>
      </c>
      <c r="C207" s="12"/>
      <c r="D207" s="14"/>
      <c r="E207" s="14"/>
      <c r="F207" s="388">
        <f t="shared" ref="F207:N207" si="128">F$3</f>
        <v>2020</v>
      </c>
      <c r="G207" s="388">
        <f t="shared" si="128"/>
        <v>2021</v>
      </c>
      <c r="H207" s="388">
        <f t="shared" si="128"/>
        <v>2022</v>
      </c>
      <c r="I207" s="389">
        <f t="shared" si="128"/>
        <v>2023</v>
      </c>
      <c r="J207" s="389">
        <f t="shared" si="128"/>
        <v>2024</v>
      </c>
      <c r="K207" s="389">
        <f t="shared" si="128"/>
        <v>2025</v>
      </c>
      <c r="L207" s="389">
        <f t="shared" si="128"/>
        <v>2026</v>
      </c>
      <c r="M207" s="389">
        <f t="shared" si="128"/>
        <v>2027</v>
      </c>
      <c r="N207" s="177" t="str">
        <f t="shared" si="128"/>
        <v>Term</v>
      </c>
      <c r="O207" s="59"/>
    </row>
    <row r="208" ht="15" customHeight="1" outlineLevel="1">
      <c r="A208" s="23"/>
      <c r="B208" s="11" t="str">
        <f>$B$4</f>
        <v xml:space="preserve">Model Running: Base Case Drivers</v>
      </c>
      <c r="C208" s="12"/>
      <c r="D208" s="14"/>
      <c r="E208" s="14"/>
      <c r="F208" s="14"/>
      <c r="G208" s="14"/>
      <c r="H208" s="14"/>
      <c r="I208" s="16"/>
      <c r="J208" s="16"/>
      <c r="K208" s="16"/>
      <c r="L208" s="16"/>
      <c r="M208" s="16"/>
      <c r="N208" s="16"/>
      <c r="O208" s="59"/>
    </row>
    <row r="209" s="23" customFormat="1" ht="15" customHeight="1" outlineLevel="1">
      <c r="B209" s="11"/>
      <c r="C209" s="12"/>
      <c r="D209" s="14"/>
      <c r="E209" s="14"/>
      <c r="F209" s="14"/>
      <c r="G209" s="14"/>
      <c r="H209" s="14"/>
      <c r="I209" s="16"/>
      <c r="J209" s="16"/>
      <c r="K209" s="16"/>
      <c r="L209" s="16"/>
      <c r="M209" s="16"/>
    </row>
    <row r="210" s="23" customFormat="1" ht="15" customHeight="1" outlineLevel="1">
      <c r="B210" s="73" t="s">
        <v>35</v>
      </c>
      <c r="C210" s="12"/>
      <c r="D210" s="14"/>
      <c r="E210" s="14"/>
      <c r="F210" s="14"/>
      <c r="G210" s="30"/>
      <c r="H210" s="30"/>
      <c r="I210" s="537">
        <f t="shared" ref="I210:N210" si="129">I163</f>
        <v>10000</v>
      </c>
      <c r="J210" s="394">
        <f t="shared" si="129"/>
        <v>8000</v>
      </c>
      <c r="K210" s="394">
        <f t="shared" si="129"/>
        <v>9000</v>
      </c>
      <c r="L210" s="394">
        <f t="shared" si="129"/>
        <v>5000</v>
      </c>
      <c r="M210" s="395">
        <f t="shared" si="129"/>
        <v>5000</v>
      </c>
      <c r="N210" s="395">
        <f t="shared" si="129"/>
        <v>6000</v>
      </c>
      <c r="O210"/>
      <c r="P210" s="23" t="s">
        <v>160</v>
      </c>
    </row>
    <row r="211" s="23" customFormat="1" ht="15" customHeight="1" outlineLevel="1">
      <c r="B211" s="11"/>
      <c r="C211" s="12"/>
      <c r="D211" s="14"/>
      <c r="E211" s="14"/>
      <c r="F211" s="14"/>
      <c r="G211" s="14"/>
      <c r="H211" s="14"/>
      <c r="I211" s="16"/>
      <c r="J211" s="16"/>
      <c r="K211" s="16"/>
      <c r="L211" s="16"/>
      <c r="M211" s="16"/>
      <c r="O211" s="438"/>
    </row>
    <row r="212" s="23" customFormat="1" ht="15" customHeight="1" outlineLevel="1">
      <c r="B212" s="390" t="s">
        <v>131</v>
      </c>
      <c r="C212" s="538"/>
      <c r="D212" s="539">
        <f>Inputs!$L$112</f>
        <v>0.5</v>
      </c>
      <c r="E212" s="14"/>
      <c r="F212" s="14"/>
      <c r="G212" s="14"/>
      <c r="H212" s="14"/>
      <c r="I212" s="16"/>
      <c r="J212" s="16"/>
      <c r="K212" s="16"/>
      <c r="L212" s="16"/>
      <c r="M212" s="16"/>
      <c r="O212" s="438"/>
    </row>
    <row r="213" s="23" customFormat="1" ht="15" customHeight="1" outlineLevel="1">
      <c r="B213" s="408" t="s">
        <v>132</v>
      </c>
      <c r="C213" s="492"/>
      <c r="D213" s="540">
        <f>Inputs!$L$113</f>
        <v>0.14999999999999999</v>
      </c>
      <c r="E213" s="14"/>
      <c r="F213" s="14"/>
      <c r="G213" s="14"/>
      <c r="H213" s="14"/>
      <c r="J213" s="16"/>
      <c r="K213" s="16"/>
      <c r="L213" s="16"/>
      <c r="M213" s="16"/>
      <c r="O213" s="59"/>
    </row>
    <row r="214" s="23" customFormat="1" ht="15" customHeight="1" outlineLevel="1">
      <c r="B214" s="73"/>
      <c r="C214" s="541"/>
      <c r="D214" s="542"/>
      <c r="E214" s="14"/>
      <c r="F214" s="14"/>
      <c r="G214" s="14"/>
      <c r="H214" s="14"/>
      <c r="I214" s="543"/>
      <c r="J214" s="543"/>
      <c r="K214" s="543"/>
      <c r="L214" s="543"/>
      <c r="M214" s="543"/>
      <c r="O214" s="59"/>
    </row>
    <row r="215" s="23" customFormat="1" ht="15" customHeight="1" outlineLevel="1">
      <c r="B215" s="73"/>
      <c r="C215" s="541"/>
      <c r="D215" s="542"/>
      <c r="E215" s="14"/>
      <c r="F215" s="14"/>
      <c r="G215" s="14"/>
      <c r="H215" s="14"/>
      <c r="I215" s="543"/>
      <c r="J215" s="543"/>
      <c r="K215" s="543"/>
      <c r="L215" s="543"/>
      <c r="M215" s="543"/>
      <c r="O215" s="438"/>
    </row>
    <row r="216" s="23" customFormat="1" ht="15" customHeight="1" outlineLevel="1">
      <c r="B216" s="241" t="s">
        <v>235</v>
      </c>
      <c r="C216" s="12"/>
      <c r="D216" s="14"/>
      <c r="E216" s="14"/>
      <c r="F216" s="14"/>
      <c r="G216" s="14"/>
      <c r="H216" s="14"/>
      <c r="I216" s="16"/>
      <c r="J216" s="16"/>
      <c r="K216" s="16"/>
      <c r="L216" s="16"/>
      <c r="M216" s="16"/>
      <c r="O216" s="59"/>
    </row>
    <row r="217" s="23" customFormat="1" ht="15" customHeight="1" outlineLevel="1">
      <c r="B217" s="284" t="s">
        <v>236</v>
      </c>
      <c r="C217" s="12"/>
      <c r="D217" s="14"/>
      <c r="E217" s="14"/>
      <c r="F217" s="14"/>
      <c r="G217" s="289"/>
      <c r="H217" s="30"/>
      <c r="I217" s="465">
        <f t="shared" ref="I217:N217" si="130">H220</f>
        <v>75407</v>
      </c>
      <c r="J217" s="465">
        <f t="shared" si="130"/>
        <v>80444.0625</v>
      </c>
      <c r="K217" s="465">
        <f t="shared" si="130"/>
        <v>83031.125</v>
      </c>
      <c r="L217" s="465">
        <f t="shared" si="130"/>
        <v>86193.1875</v>
      </c>
      <c r="M217" s="465">
        <f t="shared" si="130"/>
        <v>85005.25</v>
      </c>
      <c r="N217" s="465">
        <f t="shared" si="130"/>
        <v>83567.3125</v>
      </c>
      <c r="O217" s="59"/>
      <c r="P217" s="23" t="s">
        <v>160</v>
      </c>
    </row>
    <row r="218" s="23" customFormat="1" ht="15" customHeight="1" outlineLevel="1">
      <c r="B218" s="284" t="s">
        <v>35</v>
      </c>
      <c r="C218" s="12"/>
      <c r="D218" s="14"/>
      <c r="E218" s="14"/>
      <c r="F218" s="14"/>
      <c r="G218" s="289"/>
      <c r="H218" s="544"/>
      <c r="I218" s="465">
        <f t="shared" ref="I218:N218" si="131">I210</f>
        <v>10000</v>
      </c>
      <c r="J218" s="465">
        <f t="shared" si="131"/>
        <v>8000</v>
      </c>
      <c r="K218" s="465">
        <f t="shared" si="131"/>
        <v>9000</v>
      </c>
      <c r="L218" s="465">
        <f t="shared" si="131"/>
        <v>5000</v>
      </c>
      <c r="M218" s="465">
        <f t="shared" si="131"/>
        <v>5000</v>
      </c>
      <c r="N218" s="465">
        <f t="shared" si="131"/>
        <v>6000</v>
      </c>
      <c r="O218" s="59"/>
      <c r="P218" s="23" t="s">
        <v>160</v>
      </c>
    </row>
    <row r="219" s="23" customFormat="1" ht="15" customHeight="1" outlineLevel="1">
      <c r="B219" s="284" t="s">
        <v>237</v>
      </c>
      <c r="C219" s="12"/>
      <c r="D219" s="14"/>
      <c r="E219" s="14"/>
      <c r="F219" s="14"/>
      <c r="G219" s="289"/>
      <c r="H219" s="545"/>
      <c r="I219" s="472">
        <f>I197*-1</f>
        <v>-4962.9375</v>
      </c>
      <c r="J219" s="472">
        <f t="shared" ref="J219:M219" si="132">J197*-1</f>
        <v>-5412.9375</v>
      </c>
      <c r="K219" s="472">
        <f t="shared" si="132"/>
        <v>-5837.9375</v>
      </c>
      <c r="L219" s="472">
        <f t="shared" si="132"/>
        <v>-6187.9375</v>
      </c>
      <c r="M219" s="472">
        <f t="shared" si="132"/>
        <v>-6437.9375</v>
      </c>
      <c r="N219" s="472">
        <f>N197*-1</f>
        <v>-6712.9375</v>
      </c>
      <c r="O219" s="59"/>
      <c r="P219" s="23" t="s">
        <v>160</v>
      </c>
    </row>
    <row r="220" s="23" customFormat="1" ht="15" customHeight="1" outlineLevel="1">
      <c r="B220" s="284" t="s">
        <v>238</v>
      </c>
      <c r="C220" s="12"/>
      <c r="D220" s="14"/>
      <c r="E220" s="14"/>
      <c r="F220" s="546"/>
      <c r="G220" s="289"/>
      <c r="H220" s="465">
        <f>$D$168</f>
        <v>75407</v>
      </c>
      <c r="I220" s="465">
        <f t="shared" ref="I220:N220" si="133">SUM(I217:I219)</f>
        <v>80444.0625</v>
      </c>
      <c r="J220" s="465">
        <f t="shared" si="133"/>
        <v>83031.125</v>
      </c>
      <c r="K220" s="465">
        <f t="shared" si="133"/>
        <v>86193.1875</v>
      </c>
      <c r="L220" s="465">
        <f t="shared" si="133"/>
        <v>85005.25</v>
      </c>
      <c r="M220" s="465">
        <f t="shared" si="133"/>
        <v>83567.3125</v>
      </c>
      <c r="N220" s="465">
        <f t="shared" si="133"/>
        <v>82854.375</v>
      </c>
      <c r="O220" s="438"/>
      <c r="P220" s="23" t="s">
        <v>160</v>
      </c>
    </row>
    <row r="221" s="23" customFormat="1" ht="15" customHeight="1" outlineLevel="1">
      <c r="B221" s="11"/>
      <c r="C221" s="12"/>
      <c r="D221" s="14"/>
      <c r="E221" s="14"/>
      <c r="F221" s="14"/>
      <c r="G221" s="14"/>
      <c r="H221" s="242"/>
      <c r="I221" s="242"/>
      <c r="J221" s="242"/>
      <c r="K221" s="242"/>
      <c r="L221" s="242"/>
      <c r="M221" s="242"/>
      <c r="N221" s="242"/>
      <c r="O221" s="438"/>
    </row>
    <row r="222" s="23" customFormat="1" ht="15" customHeight="1" outlineLevel="1">
      <c r="B222" s="11"/>
      <c r="C222" s="12"/>
      <c r="D222" s="14"/>
      <c r="E222" s="14"/>
      <c r="F222" s="14"/>
      <c r="G222" s="14"/>
      <c r="H222" s="242"/>
      <c r="I222" s="242"/>
      <c r="J222" s="242"/>
      <c r="K222" s="242"/>
      <c r="L222" s="242"/>
      <c r="M222" s="242"/>
      <c r="N222" s="242"/>
      <c r="O222" s="438"/>
    </row>
    <row r="223" s="23" customFormat="1" ht="15" customHeight="1" outlineLevel="1">
      <c r="B223" s="241" t="s">
        <v>239</v>
      </c>
      <c r="C223" s="12"/>
      <c r="D223" s="14"/>
      <c r="E223" s="14"/>
      <c r="F223" s="14"/>
      <c r="G223" s="14"/>
      <c r="H223" s="242"/>
      <c r="I223" s="242"/>
      <c r="J223" s="242"/>
      <c r="K223" s="242"/>
      <c r="L223" s="242"/>
      <c r="M223" s="242"/>
      <c r="N223" s="242"/>
      <c r="O223" s="438"/>
    </row>
    <row r="224" s="23" customFormat="1" ht="15" customHeight="1" outlineLevel="1">
      <c r="B224" s="284" t="s">
        <v>236</v>
      </c>
      <c r="C224" s="12"/>
      <c r="D224" s="14"/>
      <c r="E224" s="14"/>
      <c r="F224" s="14"/>
      <c r="G224" s="289"/>
      <c r="H224" s="30"/>
      <c r="I224" s="465">
        <f t="shared" ref="I224:N224" si="134">H227</f>
        <v>39211</v>
      </c>
      <c r="J224" s="465">
        <f t="shared" si="134"/>
        <v>42579.349999999999</v>
      </c>
      <c r="K224" s="465">
        <f t="shared" si="134"/>
        <v>43592.447500000002</v>
      </c>
      <c r="L224" s="465">
        <f t="shared" si="134"/>
        <v>45378.580375000005</v>
      </c>
      <c r="M224" s="465">
        <f t="shared" si="134"/>
        <v>43196.793318750002</v>
      </c>
      <c r="N224" s="465">
        <f t="shared" si="134"/>
        <v>41342.274320937504</v>
      </c>
      <c r="O224" s="438"/>
      <c r="P224" s="23" t="s">
        <v>160</v>
      </c>
    </row>
    <row r="225" s="23" customFormat="1" ht="15" customHeight="1" outlineLevel="1">
      <c r="B225" s="284" t="s">
        <v>35</v>
      </c>
      <c r="C225" s="12"/>
      <c r="D225" s="14"/>
      <c r="E225" s="14"/>
      <c r="F225" s="14"/>
      <c r="G225" s="289"/>
      <c r="H225" s="30"/>
      <c r="I225" s="465">
        <f t="shared" ref="I225:M225" si="135">I218</f>
        <v>10000</v>
      </c>
      <c r="J225" s="465">
        <f t="shared" si="135"/>
        <v>8000</v>
      </c>
      <c r="K225" s="465">
        <f t="shared" si="135"/>
        <v>9000</v>
      </c>
      <c r="L225" s="465">
        <f t="shared" si="135"/>
        <v>5000</v>
      </c>
      <c r="M225" s="465">
        <f t="shared" si="135"/>
        <v>5000</v>
      </c>
      <c r="N225" s="465">
        <f>N218</f>
        <v>6000</v>
      </c>
      <c r="O225" s="438"/>
      <c r="P225" s="23" t="s">
        <v>160</v>
      </c>
    </row>
    <row r="226" s="23" customFormat="1" ht="15" customHeight="1" outlineLevel="1">
      <c r="B226" s="284" t="s">
        <v>240</v>
      </c>
      <c r="H226" s="547"/>
      <c r="I226" s="472">
        <f t="shared" ref="I226:N226" si="136">-(I224+I225*$D$212)*$D$213</f>
        <v>-6631.6499999999996</v>
      </c>
      <c r="J226" s="472">
        <f t="shared" si="136"/>
        <v>-6986.9024999999992</v>
      </c>
      <c r="K226" s="472">
        <f t="shared" si="136"/>
        <v>-7213.8671249999998</v>
      </c>
      <c r="L226" s="472">
        <f t="shared" si="136"/>
        <v>-7181.7870562500002</v>
      </c>
      <c r="M226" s="472">
        <f t="shared" si="136"/>
        <v>-6854.5189978124999</v>
      </c>
      <c r="N226" s="472">
        <f t="shared" si="136"/>
        <v>-6651.3411481406256</v>
      </c>
      <c r="O226" s="59"/>
      <c r="P226" s="23" t="s">
        <v>160</v>
      </c>
    </row>
    <row r="227" s="23" customFormat="1" ht="15" customHeight="1" outlineLevel="1">
      <c r="B227" s="284" t="s">
        <v>238</v>
      </c>
      <c r="C227" s="12"/>
      <c r="D227" s="426" t="str">
        <f>'Model-R'!S230</f>
        <v/>
      </c>
      <c r="E227" s="14"/>
      <c r="F227" s="441"/>
      <c r="G227" s="289"/>
      <c r="H227" s="465">
        <f>Inputs!$L$104</f>
        <v>39211</v>
      </c>
      <c r="I227" s="465">
        <f t="shared" ref="I227:N227" si="137">SUM(I224:I226)</f>
        <v>42579.349999999999</v>
      </c>
      <c r="J227" s="465">
        <f t="shared" si="137"/>
        <v>43592.447500000002</v>
      </c>
      <c r="K227" s="465">
        <f t="shared" si="137"/>
        <v>45378.580375000005</v>
      </c>
      <c r="L227" s="465">
        <f t="shared" si="137"/>
        <v>43196.793318750002</v>
      </c>
      <c r="M227" s="465">
        <f t="shared" si="137"/>
        <v>41342.274320937504</v>
      </c>
      <c r="N227" s="465">
        <f t="shared" si="137"/>
        <v>40690.933172796882</v>
      </c>
      <c r="O227" s="438"/>
      <c r="P227" s="23" t="s">
        <v>160</v>
      </c>
    </row>
    <row r="228" s="23" customFormat="1" ht="15" customHeight="1" outlineLevel="1">
      <c r="B228" s="11"/>
      <c r="C228" s="12"/>
      <c r="D228" s="14"/>
      <c r="E228" s="14"/>
      <c r="F228" s="14"/>
      <c r="G228" s="14"/>
      <c r="H228" s="14"/>
      <c r="I228" s="16"/>
      <c r="J228" s="16"/>
      <c r="K228" s="16"/>
      <c r="L228" s="16"/>
      <c r="M228" s="16"/>
      <c r="O228" s="438"/>
    </row>
    <row r="229" s="23" customFormat="1" ht="15" customHeight="1" outlineLevel="1">
      <c r="B229" s="11"/>
      <c r="C229" s="12"/>
      <c r="D229" s="14"/>
      <c r="E229" s="14"/>
      <c r="F229" s="14"/>
      <c r="G229" s="14"/>
      <c r="H229" s="14"/>
      <c r="I229" s="16"/>
      <c r="J229" s="16"/>
      <c r="K229" s="16"/>
      <c r="L229" s="16"/>
      <c r="M229" s="16"/>
      <c r="O229" s="438"/>
    </row>
    <row r="230" s="23" customFormat="1" ht="15" customHeight="1" outlineLevel="1">
      <c r="B230" s="11"/>
      <c r="C230" s="12"/>
      <c r="D230" s="14"/>
      <c r="E230" s="14"/>
      <c r="F230" s="14"/>
      <c r="G230" s="14"/>
      <c r="H230" s="14"/>
      <c r="I230" s="16"/>
      <c r="J230" s="16"/>
      <c r="K230" s="16"/>
      <c r="L230" s="16"/>
      <c r="M230" s="132" t="s">
        <v>241</v>
      </c>
      <c r="O230" s="438"/>
    </row>
    <row r="231" s="23" customFormat="1" ht="15" customHeight="1" outlineLevel="1">
      <c r="B231" s="11"/>
      <c r="C231" s="12"/>
      <c r="D231" s="14"/>
      <c r="E231" s="14"/>
      <c r="F231" s="14"/>
      <c r="G231" s="14"/>
      <c r="H231" s="14"/>
      <c r="I231" s="16"/>
      <c r="J231" s="16"/>
      <c r="K231" s="16"/>
      <c r="L231" s="16"/>
      <c r="M231" s="536"/>
      <c r="O231" s="59"/>
    </row>
    <row r="232" s="23" customFormat="1" ht="15" customHeight="1" outlineLevel="1">
      <c r="B232" s="500"/>
      <c r="C232" s="281"/>
      <c r="D232" s="501"/>
      <c r="E232" s="501"/>
      <c r="F232" s="501"/>
      <c r="G232" s="501"/>
      <c r="H232" s="501"/>
      <c r="I232" s="502"/>
      <c r="J232" s="502"/>
      <c r="K232" s="502"/>
      <c r="L232" s="502"/>
      <c r="M232" s="502"/>
      <c r="N232" s="502"/>
      <c r="O232" s="59"/>
    </row>
    <row r="233" s="23" customFormat="1" ht="15" customHeight="1" outlineLevel="1">
      <c r="B233" s="11"/>
      <c r="C233" s="12"/>
      <c r="D233" s="14"/>
      <c r="E233" s="14"/>
      <c r="F233" s="14"/>
      <c r="G233" s="14"/>
      <c r="H233" s="14"/>
      <c r="I233" s="16"/>
      <c r="J233" s="16"/>
      <c r="K233" s="16"/>
      <c r="L233" s="16"/>
      <c r="M233" s="16"/>
      <c r="N233" s="438"/>
      <c r="O233" s="438"/>
    </row>
    <row r="234" s="23" customFormat="1" ht="15" customHeight="1" outlineLevel="1">
      <c r="A234" s="23" t="s">
        <v>0</v>
      </c>
      <c r="B234" s="6" t="s">
        <v>242</v>
      </c>
      <c r="C234" s="7"/>
      <c r="D234" s="459"/>
      <c r="E234" s="459"/>
      <c r="F234" s="9"/>
      <c r="G234" s="9"/>
      <c r="H234" s="9"/>
      <c r="I234" s="460"/>
      <c r="J234" s="461"/>
      <c r="K234" s="461"/>
      <c r="L234" s="461"/>
      <c r="M234" s="461"/>
      <c r="N234" s="461"/>
      <c r="O234" s="477"/>
    </row>
    <row r="235" s="23" customFormat="1" ht="15" customHeight="1" outlineLevel="1">
      <c r="B235" s="176"/>
      <c r="C235" s="12"/>
      <c r="D235" s="13"/>
      <c r="E235" s="13"/>
      <c r="F235" s="10"/>
      <c r="G235" s="10"/>
      <c r="H235" s="10"/>
      <c r="I235" s="10"/>
      <c r="J235" s="10"/>
      <c r="K235" s="10"/>
      <c r="L235" s="10"/>
      <c r="M235" s="10"/>
      <c r="N235" s="477"/>
      <c r="O235" s="477"/>
    </row>
    <row r="236" s="23" customFormat="1" ht="15" customHeight="1" outlineLevel="1">
      <c r="B236" s="11" t="s">
        <v>3</v>
      </c>
      <c r="C236" s="12"/>
      <c r="D236" s="14"/>
      <c r="E236" s="14"/>
      <c r="F236" s="14"/>
      <c r="G236" s="14"/>
      <c r="H236" s="548">
        <f t="shared" ref="H236:O236" si="138">H3</f>
        <v>2022</v>
      </c>
      <c r="I236" s="548">
        <f t="shared" si="138"/>
        <v>2023</v>
      </c>
      <c r="J236" s="548">
        <f t="shared" si="138"/>
        <v>2024</v>
      </c>
      <c r="K236" s="548">
        <f t="shared" si="138"/>
        <v>2025</v>
      </c>
      <c r="L236" s="548">
        <f t="shared" si="138"/>
        <v>2026</v>
      </c>
      <c r="M236" s="548">
        <f t="shared" si="138"/>
        <v>2027</v>
      </c>
      <c r="N236" s="549" t="str">
        <f t="shared" si="138"/>
        <v>Term</v>
      </c>
      <c r="O236" s="548">
        <f t="shared" si="138"/>
        <v>0</v>
      </c>
    </row>
    <row r="237" s="23" customFormat="1" ht="15" customHeight="1" outlineLevel="1">
      <c r="A237" s="4"/>
      <c r="B237" s="11" t="str">
        <f>B$6</f>
        <v xml:space="preserve">Days in Period</v>
      </c>
      <c r="C237" s="12"/>
      <c r="D237" s="14"/>
      <c r="E237" s="14"/>
      <c r="F237" s="14"/>
      <c r="G237" s="14"/>
      <c r="H237" s="14"/>
      <c r="I237" s="16"/>
      <c r="J237" s="16"/>
      <c r="K237" s="16"/>
      <c r="L237" s="16"/>
      <c r="M237" s="16"/>
      <c r="N237" s="1"/>
      <c r="O237" s="1"/>
    </row>
    <row r="238" s="23" customFormat="1" ht="15" customHeight="1" outlineLevel="1">
      <c r="B238" s="11"/>
      <c r="C238" s="12"/>
      <c r="D238" s="14"/>
      <c r="E238" s="14"/>
      <c r="F238" s="14"/>
      <c r="G238" s="14"/>
      <c r="H238" s="14"/>
      <c r="I238" s="16"/>
      <c r="J238" s="16"/>
      <c r="K238" s="16"/>
      <c r="L238" s="16"/>
      <c r="M238" s="16"/>
      <c r="N238" s="438"/>
      <c r="O238" s="438"/>
    </row>
    <row r="239" s="23" customFormat="1" ht="15" customHeight="1" outlineLevel="1">
      <c r="B239" s="11"/>
      <c r="C239" s="12"/>
      <c r="D239" s="14"/>
      <c r="E239" s="14"/>
      <c r="F239" s="14"/>
      <c r="G239" s="14"/>
      <c r="H239" s="14"/>
      <c r="I239" s="16"/>
      <c r="J239" s="16"/>
      <c r="K239" s="16"/>
      <c r="L239" s="16"/>
      <c r="M239" s="16"/>
      <c r="N239" s="438"/>
      <c r="O239" s="438"/>
    </row>
    <row r="240" s="23" customFormat="1" ht="15" customHeight="1">
      <c r="A240" s="1"/>
      <c r="B240" s="61" t="s">
        <v>243</v>
      </c>
      <c r="C240" s="12"/>
      <c r="D240" s="14"/>
      <c r="E240" s="14"/>
      <c r="F240" s="14"/>
      <c r="G240" s="14"/>
      <c r="H240" s="14"/>
      <c r="I240" s="16"/>
      <c r="J240" s="16"/>
      <c r="K240" s="16"/>
      <c r="L240" s="16"/>
      <c r="M240" s="16"/>
      <c r="N240" s="1"/>
      <c r="O240" s="1"/>
    </row>
    <row r="241" s="23" customFormat="1" ht="15" customHeight="1">
      <c r="A241" s="1"/>
      <c r="B241" s="61"/>
      <c r="C241" s="12"/>
      <c r="D241" s="14"/>
      <c r="E241" s="14"/>
      <c r="F241" s="14"/>
      <c r="G241" s="14"/>
      <c r="H241" s="14"/>
      <c r="I241" s="16"/>
      <c r="J241" s="16"/>
      <c r="K241" s="16"/>
      <c r="L241" s="16"/>
      <c r="M241" s="16"/>
      <c r="N241" s="1"/>
      <c r="O241" s="1"/>
    </row>
    <row r="242" s="23" customFormat="1" ht="15" customHeight="1" outlineLevel="1">
      <c r="A242" s="1"/>
      <c r="B242" s="284" t="s">
        <v>244</v>
      </c>
      <c r="C242" s="12"/>
      <c r="D242" s="14"/>
      <c r="E242" s="14"/>
      <c r="F242" s="14"/>
      <c r="G242" s="14"/>
      <c r="H242" s="30"/>
      <c r="I242" s="465">
        <f t="shared" ref="I242:N242" si="139">H244</f>
        <v>8409.9991000000064</v>
      </c>
      <c r="J242" s="465">
        <f t="shared" si="139"/>
        <v>11066.678842690764</v>
      </c>
      <c r="K242" s="465">
        <f t="shared" si="139"/>
        <v>16091.112548275878</v>
      </c>
      <c r="L242" s="465">
        <f t="shared" si="139"/>
        <v>18493.385964724126</v>
      </c>
      <c r="M242" s="465">
        <f t="shared" si="139"/>
        <v>24031.815425218258</v>
      </c>
      <c r="N242" s="465">
        <f t="shared" si="139"/>
        <v>29619.420045024232</v>
      </c>
      <c r="O242" s="550">
        <f>'[1]Model-R'!R241</f>
        <v>0</v>
      </c>
      <c r="P242" s="23" t="s">
        <v>160</v>
      </c>
    </row>
    <row r="243" s="23" customFormat="1" ht="15" customHeight="1" outlineLevel="1">
      <c r="A243" s="1"/>
      <c r="B243" s="284" t="s">
        <v>45</v>
      </c>
      <c r="C243" s="12"/>
      <c r="D243" s="14"/>
      <c r="E243" s="14"/>
      <c r="F243" s="14"/>
      <c r="G243" s="14"/>
      <c r="H243" s="290"/>
      <c r="I243" s="472">
        <f>I75</f>
        <v>2656.6797426907578</v>
      </c>
      <c r="J243" s="472">
        <f t="shared" ref="J243:N243" si="140">J75</f>
        <v>5024.4337055851138</v>
      </c>
      <c r="K243" s="472">
        <f t="shared" si="140"/>
        <v>2402.2734164482499</v>
      </c>
      <c r="L243" s="472">
        <f t="shared" si="140"/>
        <v>5538.4294604941324</v>
      </c>
      <c r="M243" s="472">
        <f t="shared" si="140"/>
        <v>5587.604619805973</v>
      </c>
      <c r="N243" s="472">
        <f t="shared" si="140"/>
        <v>5744.1033170496667</v>
      </c>
      <c r="O243" s="550">
        <f>'[1]Model-R'!R242</f>
        <v>0</v>
      </c>
      <c r="P243" s="23" t="s">
        <v>160</v>
      </c>
    </row>
    <row r="244" ht="15" customHeight="1" outlineLevel="1">
      <c r="B244" s="284" t="s">
        <v>245</v>
      </c>
      <c r="C244" s="12"/>
      <c r="D244" s="14"/>
      <c r="E244" s="14"/>
      <c r="F244" s="14"/>
      <c r="G244" s="14"/>
      <c r="H244" s="465">
        <f>H76</f>
        <v>8409.9991000000064</v>
      </c>
      <c r="I244" s="465">
        <f t="shared" ref="I244:N244" si="141">SUM(I242:I243)</f>
        <v>11066.678842690764</v>
      </c>
      <c r="J244" s="465">
        <f t="shared" si="141"/>
        <v>16091.112548275878</v>
      </c>
      <c r="K244" s="465">
        <f t="shared" si="141"/>
        <v>18493.385964724126</v>
      </c>
      <c r="L244" s="465">
        <f t="shared" si="141"/>
        <v>24031.815425218258</v>
      </c>
      <c r="M244" s="465">
        <f t="shared" si="141"/>
        <v>29619.420045024232</v>
      </c>
      <c r="N244" s="465">
        <f t="shared" si="141"/>
        <v>35363.523362073902</v>
      </c>
      <c r="O244" s="550">
        <f>'[1]Model-R'!R243</f>
        <v>0</v>
      </c>
      <c r="P244" s="23" t="s">
        <v>160</v>
      </c>
    </row>
    <row r="245" s="23" customFormat="1" ht="15" customHeight="1" outlineLevel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23" t="s">
        <v>160</v>
      </c>
    </row>
    <row r="246" s="23" customFormat="1" ht="15" customHeight="1" outlineLevel="1">
      <c r="A246" s="1"/>
      <c r="B246" s="284" t="s">
        <v>246</v>
      </c>
      <c r="C246" s="12"/>
      <c r="D246" s="14"/>
      <c r="E246" s="14"/>
      <c r="F246" s="551" t="s">
        <v>247</v>
      </c>
      <c r="G246" s="14"/>
      <c r="H246" s="242"/>
      <c r="I246" s="522">
        <f>[1]Inputs!$F$62</f>
        <v>0.01</v>
      </c>
      <c r="J246" s="522">
        <f>I246</f>
        <v>0.01</v>
      </c>
      <c r="K246" s="522">
        <f>J246</f>
        <v>0.01</v>
      </c>
      <c r="L246" s="522">
        <f>K246</f>
        <v>0.01</v>
      </c>
      <c r="M246" s="522">
        <f>L246</f>
        <v>0.01</v>
      </c>
      <c r="N246" s="522">
        <f>M246</f>
        <v>0.01</v>
      </c>
      <c r="O246" s="1"/>
      <c r="P246" s="23" t="s">
        <v>160</v>
      </c>
    </row>
    <row r="247" s="23" customFormat="1" ht="15" customHeight="1" outlineLevel="1">
      <c r="A247" s="1"/>
      <c r="B247" s="284" t="s">
        <v>170</v>
      </c>
      <c r="C247" s="1"/>
      <c r="D247" s="1"/>
      <c r="E247" s="1"/>
      <c r="F247" s="552" t="e">
        <f>[1]Cover!#REF!</f>
        <v>#REF!</v>
      </c>
      <c r="G247" s="550">
        <f>'[1]Model-R'!V246</f>
        <v>0</v>
      </c>
      <c r="H247" s="1"/>
      <c r="I247" s="465">
        <f t="shared" ref="I247:N247" si="142">IF($F$392=1,AVERAGE(I242,I244)*I246,I242*I246)</f>
        <v>84.09999100000006</v>
      </c>
      <c r="J247" s="465">
        <f t="shared" si="142"/>
        <v>110.66678842690764</v>
      </c>
      <c r="K247" s="465">
        <f t="shared" si="142"/>
        <v>160.91112548275879</v>
      </c>
      <c r="L247" s="465">
        <f t="shared" si="142"/>
        <v>184.93385964724126</v>
      </c>
      <c r="M247" s="465">
        <f t="shared" si="142"/>
        <v>240.31815425218258</v>
      </c>
      <c r="N247" s="465">
        <f t="shared" si="142"/>
        <v>296.19420045024231</v>
      </c>
      <c r="O247" s="550">
        <f>'[1]Model-R'!R246</f>
        <v>0</v>
      </c>
      <c r="P247" s="23" t="s">
        <v>160</v>
      </c>
    </row>
    <row r="248" s="23" customFormat="1" ht="15" customHeight="1" outlineLevel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="23" customFormat="1" ht="15" customHeight="1" outlineLevel="1">
      <c r="A249" s="1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"/>
    </row>
    <row r="250" s="23" customFormat="1" ht="15" customHeight="1" outlineLevel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="23" customFormat="1" ht="15" customHeight="1" outlineLevel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="23" customFormat="1" ht="15" customHeight="1" outlineLevel="1">
      <c r="A252" s="1"/>
      <c r="B252" s="61" t="s">
        <v>248</v>
      </c>
      <c r="C252" s="12"/>
      <c r="D252" s="14"/>
      <c r="E252" s="14"/>
      <c r="F252" s="14"/>
      <c r="G252" s="14"/>
      <c r="H252" s="14"/>
      <c r="I252" s="16"/>
      <c r="J252" s="16"/>
      <c r="K252" s="16"/>
      <c r="L252" s="16"/>
      <c r="M252" s="16"/>
      <c r="N252" s="1"/>
      <c r="O252" s="1"/>
    </row>
    <row r="253" s="23" customFormat="1" ht="15" customHeight="1" outlineLevel="1">
      <c r="A253" s="1"/>
      <c r="B253" s="61"/>
      <c r="C253" s="12"/>
      <c r="D253" s="14"/>
      <c r="E253" s="14"/>
      <c r="F253" s="14"/>
      <c r="G253" s="14"/>
      <c r="H253" s="14"/>
      <c r="I253" s="16"/>
      <c r="J253" s="16"/>
      <c r="K253" s="16"/>
      <c r="L253" s="16"/>
      <c r="M253" s="16"/>
      <c r="N253" s="1"/>
      <c r="O253" s="1"/>
    </row>
    <row r="254" s="23" customFormat="1" ht="15" customHeight="1" outlineLevel="1">
      <c r="A254" s="1"/>
      <c r="B254" s="284" t="s">
        <v>244</v>
      </c>
      <c r="C254" s="12"/>
      <c r="D254" s="14"/>
      <c r="E254" s="14"/>
      <c r="F254" s="14"/>
      <c r="G254" s="14"/>
      <c r="H254" s="30"/>
      <c r="I254" s="465">
        <f t="shared" ref="I254:N254" si="143">H256</f>
        <v>20000</v>
      </c>
      <c r="J254" s="465">
        <f t="shared" si="143"/>
        <v>17000</v>
      </c>
      <c r="K254" s="465">
        <f t="shared" si="143"/>
        <v>14000</v>
      </c>
      <c r="L254" s="465">
        <f t="shared" si="143"/>
        <v>12000</v>
      </c>
      <c r="M254" s="465">
        <f t="shared" si="143"/>
        <v>9000</v>
      </c>
      <c r="N254" s="465">
        <f t="shared" si="143"/>
        <v>6000</v>
      </c>
      <c r="O254" s="550">
        <f>'[1]Model-R'!R253</f>
        <v>0</v>
      </c>
      <c r="P254" s="23" t="s">
        <v>160</v>
      </c>
    </row>
    <row r="255" s="23" customFormat="1" ht="15" customHeight="1" outlineLevel="1">
      <c r="A255" s="1"/>
      <c r="B255" s="284" t="s">
        <v>45</v>
      </c>
      <c r="C255" s="12"/>
      <c r="D255" s="14"/>
      <c r="E255" s="14"/>
      <c r="F255" s="14"/>
      <c r="G255" s="14"/>
      <c r="H255" s="290"/>
      <c r="I255" s="472">
        <f>Inputs!G41</f>
        <v>-3000</v>
      </c>
      <c r="J255" s="472">
        <f>Inputs!H41</f>
        <v>-3000</v>
      </c>
      <c r="K255" s="472">
        <f>Inputs!I41</f>
        <v>-2000</v>
      </c>
      <c r="L255" s="472">
        <f>Inputs!J41</f>
        <v>-3000</v>
      </c>
      <c r="M255" s="472">
        <f>Inputs!K41</f>
        <v>-3000</v>
      </c>
      <c r="N255" s="472">
        <f>Inputs!L41</f>
        <v>-2000</v>
      </c>
      <c r="O255" s="1"/>
      <c r="P255" s="23" t="s">
        <v>160</v>
      </c>
    </row>
    <row r="256" s="23" customFormat="1" ht="15" customHeight="1" outlineLevel="1">
      <c r="A256" s="1"/>
      <c r="B256" s="284" t="s">
        <v>245</v>
      </c>
      <c r="C256" s="12"/>
      <c r="D256" s="14"/>
      <c r="E256" s="14"/>
      <c r="F256" s="14"/>
      <c r="G256" s="14"/>
      <c r="H256" s="465">
        <f>H105</f>
        <v>20000</v>
      </c>
      <c r="I256" s="465">
        <f t="shared" ref="I256:N256" si="144">SUM(I254:I255)</f>
        <v>17000</v>
      </c>
      <c r="J256" s="465">
        <f t="shared" si="144"/>
        <v>14000</v>
      </c>
      <c r="K256" s="465">
        <f t="shared" si="144"/>
        <v>12000</v>
      </c>
      <c r="L256" s="465">
        <f t="shared" si="144"/>
        <v>9000</v>
      </c>
      <c r="M256" s="465">
        <f t="shared" si="144"/>
        <v>6000</v>
      </c>
      <c r="N256" s="465">
        <f t="shared" si="144"/>
        <v>4000</v>
      </c>
      <c r="O256" s="550">
        <f>'[1]Model-R'!R255</f>
        <v>0</v>
      </c>
      <c r="P256" s="23" t="s">
        <v>160</v>
      </c>
    </row>
    <row r="257" s="23" customFormat="1" ht="15" customHeight="1" outlineLevel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23" t="s">
        <v>160</v>
      </c>
    </row>
    <row r="258" s="23" customFormat="1" ht="15" customHeight="1" outlineLevel="1">
      <c r="A258" s="1"/>
      <c r="B258" s="284" t="s">
        <v>246</v>
      </c>
      <c r="C258" s="12"/>
      <c r="D258" s="14"/>
      <c r="E258" s="14"/>
      <c r="F258" s="14"/>
      <c r="G258" s="14"/>
      <c r="H258" s="242"/>
      <c r="I258" s="522">
        <f>Inputs!$F$123</f>
        <v>0.059999999999999998</v>
      </c>
      <c r="J258" s="522">
        <f>Inputs!$F$123</f>
        <v>0.059999999999999998</v>
      </c>
      <c r="K258" s="522">
        <f>Inputs!$F$123</f>
        <v>0.059999999999999998</v>
      </c>
      <c r="L258" s="522">
        <f>Inputs!$F$123</f>
        <v>0.059999999999999998</v>
      </c>
      <c r="M258" s="522">
        <f>Inputs!$F$123</f>
        <v>0.059999999999999998</v>
      </c>
      <c r="N258" s="522">
        <f>Inputs!$F$123</f>
        <v>0.059999999999999998</v>
      </c>
      <c r="O258" s="1"/>
      <c r="P258" s="23" t="s">
        <v>160</v>
      </c>
    </row>
    <row r="259" ht="15" customHeight="1" outlineLevel="1">
      <c r="B259" s="284" t="s">
        <v>169</v>
      </c>
      <c r="I259" s="465">
        <f t="shared" ref="I259:N259" si="145">AVERAGE(I256,I254)*I258</f>
        <v>1110</v>
      </c>
      <c r="J259" s="465">
        <f t="shared" si="145"/>
        <v>930</v>
      </c>
      <c r="K259" s="465">
        <f t="shared" si="145"/>
        <v>780</v>
      </c>
      <c r="L259" s="465">
        <f t="shared" si="145"/>
        <v>630</v>
      </c>
      <c r="M259" s="465">
        <f t="shared" si="145"/>
        <v>450</v>
      </c>
      <c r="N259" s="465">
        <f t="shared" si="145"/>
        <v>300</v>
      </c>
      <c r="O259" s="550">
        <f>'[1]Model-R'!R258</f>
        <v>0</v>
      </c>
      <c r="P259" s="23" t="s">
        <v>160</v>
      </c>
    </row>
    <row r="262" s="23" customFormat="1" ht="15" customHeight="1" outlineLevel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="23" customFormat="1" ht="15" customHeight="1" outlineLevel="1">
      <c r="B263" s="500"/>
      <c r="C263" s="281"/>
      <c r="D263" s="501"/>
      <c r="E263" s="501"/>
      <c r="F263" s="501"/>
      <c r="G263" s="501"/>
      <c r="H263" s="501"/>
      <c r="I263" s="502"/>
      <c r="J263" s="502"/>
      <c r="K263" s="502"/>
      <c r="L263" s="502"/>
      <c r="M263" s="502"/>
      <c r="N263" s="502"/>
      <c r="O263" s="438"/>
    </row>
    <row r="264" s="23" customFormat="1" ht="15" customHeight="1" outlineLevel="1">
      <c r="B264" s="11"/>
      <c r="C264" s="12"/>
      <c r="D264" s="14"/>
      <c r="E264" s="14"/>
      <c r="F264" s="14"/>
      <c r="G264" s="14"/>
      <c r="H264" s="14"/>
      <c r="I264" s="16"/>
      <c r="J264" s="16"/>
      <c r="K264" s="16"/>
      <c r="L264" s="16"/>
      <c r="M264" s="16"/>
      <c r="N264" s="16"/>
      <c r="O264" s="438"/>
    </row>
    <row r="265" s="23" customFormat="1" ht="15" customHeight="1" outlineLevel="1">
      <c r="A265" s="23" t="s">
        <v>0</v>
      </c>
      <c r="B265" s="6" t="s">
        <v>249</v>
      </c>
      <c r="C265" s="7"/>
      <c r="D265" s="459"/>
      <c r="E265" s="459"/>
      <c r="F265" s="9"/>
      <c r="G265" s="9"/>
      <c r="H265" s="9"/>
      <c r="I265" s="460"/>
      <c r="J265" s="461"/>
      <c r="K265" s="461"/>
      <c r="L265" s="461"/>
      <c r="M265" s="461"/>
      <c r="N265" s="461"/>
      <c r="O265" s="477"/>
    </row>
    <row r="266" s="23" customFormat="1" ht="15" customHeight="1" outlineLevel="1">
      <c r="B266" s="176"/>
      <c r="C266" s="12"/>
      <c r="D266" s="13"/>
      <c r="E266" s="13"/>
      <c r="F266" s="10"/>
      <c r="G266" s="10"/>
      <c r="H266" s="10"/>
      <c r="I266" s="10"/>
      <c r="J266" s="10"/>
      <c r="K266" s="10"/>
      <c r="L266" s="10"/>
      <c r="M266" s="10"/>
      <c r="N266" s="477"/>
      <c r="O266" s="477"/>
    </row>
    <row r="267" s="23" customFormat="1" ht="15" customHeight="1" outlineLevel="1">
      <c r="B267" s="11" t="s">
        <v>3</v>
      </c>
      <c r="C267" s="12"/>
      <c r="D267" s="14"/>
      <c r="E267" s="14"/>
      <c r="F267" s="14"/>
      <c r="G267" s="14"/>
      <c r="H267" s="548">
        <f t="shared" ref="H267:O267" si="146">H3</f>
        <v>2022</v>
      </c>
      <c r="I267" s="548">
        <f t="shared" si="146"/>
        <v>2023</v>
      </c>
      <c r="J267" s="548">
        <f t="shared" si="146"/>
        <v>2024</v>
      </c>
      <c r="K267" s="548">
        <f t="shared" si="146"/>
        <v>2025</v>
      </c>
      <c r="L267" s="548">
        <f t="shared" si="146"/>
        <v>2026</v>
      </c>
      <c r="M267" s="548">
        <f t="shared" si="146"/>
        <v>2027</v>
      </c>
      <c r="N267" s="549" t="str">
        <f t="shared" si="146"/>
        <v>Term</v>
      </c>
      <c r="O267" s="548">
        <f t="shared" si="146"/>
        <v>0</v>
      </c>
    </row>
    <row r="268" s="23" customFormat="1" ht="15" customHeight="1" outlineLevel="1">
      <c r="A268" s="4"/>
      <c r="B268" s="11" t="str">
        <f>B$6</f>
        <v xml:space="preserve">Days in Period</v>
      </c>
      <c r="C268" s="12"/>
      <c r="D268" s="14"/>
      <c r="E268" s="14"/>
      <c r="F268" s="14"/>
      <c r="G268" s="14"/>
      <c r="H268" s="14"/>
      <c r="I268" s="16"/>
      <c r="J268" s="16"/>
      <c r="K268" s="16"/>
      <c r="L268" s="16"/>
      <c r="M268" s="16"/>
      <c r="N268" s="1"/>
      <c r="O268" s="1"/>
    </row>
    <row r="269" s="23" customFormat="1" ht="15" customHeight="1" outlineLevel="1">
      <c r="A269" s="4"/>
      <c r="B269" s="11"/>
      <c r="C269" s="12"/>
      <c r="D269" s="14"/>
      <c r="E269" s="14"/>
      <c r="F269" s="14"/>
      <c r="G269" s="14"/>
      <c r="H269" s="14"/>
      <c r="I269" s="16"/>
      <c r="J269" s="16"/>
      <c r="K269" s="16"/>
      <c r="L269" s="16"/>
      <c r="M269" s="16"/>
      <c r="N269" s="1"/>
      <c r="O269" s="1"/>
    </row>
    <row r="270" ht="15" customHeight="1" outlineLevel="1">
      <c r="A270" s="4"/>
      <c r="B270" s="11"/>
      <c r="C270" s="12"/>
      <c r="D270" s="14"/>
      <c r="E270" s="14"/>
      <c r="F270" s="14"/>
      <c r="G270" s="14"/>
      <c r="H270" s="14"/>
      <c r="I270" s="16"/>
      <c r="J270" s="16"/>
      <c r="K270" s="16"/>
      <c r="L270" s="16"/>
      <c r="M270" s="16"/>
    </row>
    <row r="271" ht="15" customHeight="1" outlineLevel="1">
      <c r="B271" s="61" t="s">
        <v>250</v>
      </c>
      <c r="C271" s="12"/>
      <c r="H271" s="14"/>
      <c r="I271" s="16"/>
      <c r="J271" s="16"/>
      <c r="K271" s="16"/>
      <c r="L271" s="16"/>
      <c r="M271" s="16"/>
    </row>
    <row r="272" ht="15" customHeight="1" outlineLevel="1">
      <c r="B272" s="61"/>
      <c r="C272" s="12"/>
      <c r="H272" s="14"/>
      <c r="I272" s="16"/>
      <c r="J272" s="16"/>
      <c r="K272" s="16"/>
      <c r="L272" s="16"/>
      <c r="M272" s="16"/>
    </row>
    <row r="273" ht="15" customHeight="1" outlineLevel="1">
      <c r="B273" s="284" t="s">
        <v>251</v>
      </c>
      <c r="C273" s="12"/>
      <c r="H273" s="30"/>
      <c r="I273" s="465">
        <f t="shared" ref="I273:N273" si="147">I74</f>
        <v>8409.9991000000064</v>
      </c>
      <c r="J273" s="465">
        <f t="shared" si="147"/>
        <v>11066.678842690764</v>
      </c>
      <c r="K273" s="465">
        <f t="shared" si="147"/>
        <v>16091.112548275878</v>
      </c>
      <c r="L273" s="465">
        <f t="shared" si="147"/>
        <v>18493.385964724126</v>
      </c>
      <c r="M273" s="465">
        <f t="shared" si="147"/>
        <v>24031.815425218258</v>
      </c>
      <c r="N273" s="465">
        <f t="shared" si="147"/>
        <v>29619.420045024232</v>
      </c>
      <c r="O273" s="550">
        <f>'[1]Model-R'!R272</f>
        <v>0</v>
      </c>
    </row>
    <row r="274" ht="15" customHeight="1" outlineLevel="1">
      <c r="B274" s="284" t="s">
        <v>252</v>
      </c>
      <c r="C274" s="12"/>
      <c r="D274" s="14"/>
      <c r="E274" s="14"/>
      <c r="F274" s="14"/>
      <c r="G274" s="14"/>
      <c r="H274" s="30"/>
      <c r="I274" s="465">
        <f t="shared" ref="I274:N274" si="148">I57</f>
        <v>18793.760858465757</v>
      </c>
      <c r="J274" s="465">
        <f t="shared" si="148"/>
        <v>19133.001529987901</v>
      </c>
      <c r="K274" s="465">
        <f t="shared" si="148"/>
        <v>16483.708420828578</v>
      </c>
      <c r="L274" s="465">
        <f t="shared" si="148"/>
        <v>16583.301441027779</v>
      </c>
      <c r="M274" s="465">
        <f t="shared" si="148"/>
        <v>16618.567407339946</v>
      </c>
      <c r="N274" s="465">
        <f t="shared" si="148"/>
        <v>16765.605053674088</v>
      </c>
      <c r="O274" s="550">
        <f>'[1]Model-R'!R273</f>
        <v>0</v>
      </c>
    </row>
    <row r="275" ht="15" customHeight="1" outlineLevel="1">
      <c r="B275" s="284" t="s">
        <v>253</v>
      </c>
      <c r="C275" s="12"/>
      <c r="D275" s="14"/>
      <c r="E275" s="14"/>
      <c r="F275" s="14"/>
      <c r="G275" s="14"/>
      <c r="H275" s="30"/>
      <c r="I275" s="465">
        <f t="shared" ref="I275:N275" si="149">I62</f>
        <v>-10000</v>
      </c>
      <c r="J275" s="465">
        <f t="shared" si="149"/>
        <v>-8000</v>
      </c>
      <c r="K275" s="465">
        <f t="shared" si="149"/>
        <v>-9000</v>
      </c>
      <c r="L275" s="465">
        <f t="shared" si="149"/>
        <v>-5000</v>
      </c>
      <c r="M275" s="465">
        <f t="shared" si="149"/>
        <v>-5000</v>
      </c>
      <c r="N275" s="465">
        <f t="shared" si="149"/>
        <v>-6000</v>
      </c>
      <c r="O275" s="550">
        <f>'[1]Model-R'!R274</f>
        <v>0</v>
      </c>
    </row>
    <row r="276" s="23" customFormat="1" ht="15" customHeight="1" outlineLevel="1">
      <c r="A276" s="1"/>
      <c r="B276" s="284" t="s">
        <v>186</v>
      </c>
      <c r="C276" s="1"/>
      <c r="D276" s="1"/>
      <c r="E276" s="1"/>
      <c r="F276" s="1"/>
      <c r="G276" s="1"/>
      <c r="H276" s="1"/>
      <c r="I276" s="465">
        <f>I255</f>
        <v>-3000</v>
      </c>
      <c r="J276" s="465">
        <f t="shared" ref="J276:N276" si="150">J255</f>
        <v>-3000</v>
      </c>
      <c r="K276" s="465">
        <f t="shared" si="150"/>
        <v>-2000</v>
      </c>
      <c r="L276" s="465">
        <f t="shared" si="150"/>
        <v>-3000</v>
      </c>
      <c r="M276" s="465">
        <f t="shared" si="150"/>
        <v>-3000</v>
      </c>
      <c r="N276" s="465">
        <f t="shared" si="150"/>
        <v>-2000</v>
      </c>
      <c r="O276" s="550">
        <f>'[1]Model-R'!R275</f>
        <v>0</v>
      </c>
    </row>
    <row r="277" s="23" customFormat="1" ht="15" customHeight="1" outlineLevel="1">
      <c r="A277" s="1"/>
      <c r="B277" s="284" t="s">
        <v>188</v>
      </c>
      <c r="C277" s="1"/>
      <c r="D277" s="1"/>
      <c r="E277" s="1"/>
      <c r="F277" s="1"/>
      <c r="G277" s="1"/>
      <c r="H277" s="1"/>
      <c r="I277" s="465">
        <f>Inputs!G42</f>
        <v>-1000</v>
      </c>
      <c r="J277" s="465">
        <f>Inputs!H42</f>
        <v>-1000</v>
      </c>
      <c r="K277" s="465">
        <f>Inputs!I42</f>
        <v>-1000</v>
      </c>
      <c r="L277" s="465">
        <f>Inputs!J42</f>
        <v>-1000</v>
      </c>
      <c r="M277" s="465">
        <f>Inputs!K42</f>
        <v>-1000</v>
      </c>
      <c r="N277" s="465">
        <f>Inputs!L42</f>
        <v>-1000</v>
      </c>
      <c r="O277" s="550">
        <f>'[1]Model-R'!R276</f>
        <v>0</v>
      </c>
    </row>
    <row r="278" ht="15" customHeight="1" outlineLevel="1">
      <c r="B278" s="284" t="s">
        <v>189</v>
      </c>
      <c r="I278" s="472">
        <f>I317</f>
        <v>2137.0811157749999</v>
      </c>
      <c r="J278" s="472">
        <f t="shared" ref="J278:N278" si="151">J317</f>
        <v>2108.5678244027872</v>
      </c>
      <c r="K278" s="472">
        <f t="shared" si="151"/>
        <v>2081.4350043803274</v>
      </c>
      <c r="L278" s="472">
        <f t="shared" si="151"/>
        <v>2044.871980533647</v>
      </c>
      <c r="M278" s="472">
        <f t="shared" si="151"/>
        <v>2030.9627875339729</v>
      </c>
      <c r="N278" s="472">
        <f t="shared" si="151"/>
        <v>2021.501736624421</v>
      </c>
      <c r="O278" s="550">
        <f>'[1]Model-R'!R277</f>
        <v>0</v>
      </c>
    </row>
    <row r="279" s="4" customFormat="1" ht="15" customHeight="1" outlineLevel="1">
      <c r="A279" s="1"/>
      <c r="B279" s="284" t="s">
        <v>254</v>
      </c>
      <c r="C279" s="1"/>
      <c r="D279" s="1"/>
      <c r="E279" s="1"/>
      <c r="F279" s="1"/>
      <c r="G279" s="1"/>
      <c r="H279" s="1"/>
      <c r="I279" s="465">
        <f>SUM(I273:I278)</f>
        <v>15340.841074240765</v>
      </c>
      <c r="J279" s="465">
        <f t="shared" ref="J279:N279" si="152">SUM(J273:J278)</f>
        <v>20308.248197081455</v>
      </c>
      <c r="K279" s="465">
        <f t="shared" si="152"/>
        <v>22656.255973484782</v>
      </c>
      <c r="L279" s="465">
        <f t="shared" si="152"/>
        <v>28121.559386285549</v>
      </c>
      <c r="M279" s="465">
        <f t="shared" si="152"/>
        <v>33681.345620092172</v>
      </c>
      <c r="N279" s="465">
        <f t="shared" si="152"/>
        <v>39406.526835322737</v>
      </c>
      <c r="O279" s="550">
        <f>'[1]Model-R'!R278</f>
        <v>0</v>
      </c>
    </row>
    <row r="280" s="23" customFormat="1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="23" customFormat="1" ht="15" customHeight="1">
      <c r="A281" s="1"/>
      <c r="B281" s="134"/>
      <c r="C281" s="134"/>
      <c r="D281" s="13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"/>
    </row>
    <row r="282" s="23" customFormat="1" ht="15" customHeight="1" outlineLevel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="23" customFormat="1" ht="15" customHeight="1" outlineLevel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="23" customFormat="1" ht="15" customHeight="1" outlineLevel="1">
      <c r="A284" s="1"/>
      <c r="B284" s="61" t="s">
        <v>255</v>
      </c>
      <c r="C284" s="12"/>
      <c r="D284" s="1"/>
      <c r="E284" s="1"/>
      <c r="F284" s="1"/>
      <c r="G284" s="1"/>
      <c r="H284" s="14"/>
      <c r="I284" s="16"/>
      <c r="J284" s="16"/>
      <c r="K284" s="16"/>
      <c r="L284" s="16"/>
      <c r="M284" s="16"/>
      <c r="N284" s="16"/>
      <c r="O284" s="1"/>
    </row>
    <row r="285" s="23" customFormat="1" ht="15" customHeight="1" outlineLevel="1">
      <c r="A285" s="1"/>
      <c r="B285" s="61"/>
      <c r="C285" s="12"/>
      <c r="D285" s="1"/>
      <c r="E285" s="1"/>
      <c r="F285" s="1"/>
      <c r="G285" s="1"/>
      <c r="H285" s="14"/>
      <c r="I285" s="16"/>
      <c r="J285" s="16"/>
      <c r="K285" s="16"/>
      <c r="L285" s="16"/>
      <c r="M285" s="16"/>
      <c r="N285" s="16"/>
      <c r="O285" s="1"/>
    </row>
    <row r="286" s="23" customFormat="1" ht="15" customHeight="1" outlineLevel="1">
      <c r="A286" s="1"/>
      <c r="B286" s="284" t="s">
        <v>244</v>
      </c>
      <c r="C286" s="12"/>
      <c r="D286" s="14"/>
      <c r="E286" s="14"/>
      <c r="F286" s="14"/>
      <c r="G286" s="14"/>
      <c r="H286" s="30"/>
      <c r="I286" s="465">
        <f>H288</f>
        <v>0</v>
      </c>
      <c r="J286" s="465">
        <f t="shared" ref="J286:N286" si="153">I288</f>
        <v>0</v>
      </c>
      <c r="K286" s="465">
        <f t="shared" si="153"/>
        <v>0</v>
      </c>
      <c r="L286" s="465">
        <f t="shared" si="153"/>
        <v>0</v>
      </c>
      <c r="M286" s="465">
        <f t="shared" si="153"/>
        <v>0</v>
      </c>
      <c r="N286" s="465">
        <f t="shared" si="153"/>
        <v>0</v>
      </c>
      <c r="O286" s="550">
        <f>'[1]Model-R'!R285</f>
        <v>0</v>
      </c>
    </row>
    <row r="287" s="23" customFormat="1" ht="15" customHeight="1" outlineLevel="1">
      <c r="A287" s="1"/>
      <c r="B287" s="284" t="s">
        <v>45</v>
      </c>
      <c r="C287" s="12"/>
      <c r="D287" s="14"/>
      <c r="E287" s="14"/>
      <c r="F287" s="14"/>
      <c r="G287" s="14"/>
      <c r="H287" s="290"/>
      <c r="I287" s="472">
        <f>-MIN(I286,I279)</f>
        <v>0</v>
      </c>
      <c r="J287" s="472">
        <f t="shared" ref="J287:N287" si="154">-MIN(J286,J279)</f>
        <v>0</v>
      </c>
      <c r="K287" s="472">
        <f t="shared" si="154"/>
        <v>0</v>
      </c>
      <c r="L287" s="472">
        <f t="shared" si="154"/>
        <v>0</v>
      </c>
      <c r="M287" s="472">
        <f t="shared" si="154"/>
        <v>0</v>
      </c>
      <c r="N287" s="472">
        <f t="shared" si="154"/>
        <v>0</v>
      </c>
      <c r="O287" s="550">
        <f>'[1]Model-R'!R286</f>
        <v>0</v>
      </c>
    </row>
    <row r="288" s="23" customFormat="1" ht="15" customHeight="1" outlineLevel="1">
      <c r="A288" s="1"/>
      <c r="B288" s="284" t="s">
        <v>245</v>
      </c>
      <c r="C288" s="12"/>
      <c r="D288" s="14"/>
      <c r="E288" s="14"/>
      <c r="F288" s="14"/>
      <c r="G288" s="14"/>
      <c r="H288" s="465">
        <f>H101</f>
        <v>0</v>
      </c>
      <c r="I288" s="465">
        <f>IF(SUM(I286:I287)&gt;0,SUM(I286:I287),0)</f>
        <v>0</v>
      </c>
      <c r="J288" s="465">
        <f t="shared" ref="J288:N288" si="155">IF(SUM(J286:J287)&gt;0,SUM(J286:J287),0)</f>
        <v>0</v>
      </c>
      <c r="K288" s="465">
        <f t="shared" si="155"/>
        <v>0</v>
      </c>
      <c r="L288" s="465">
        <f t="shared" si="155"/>
        <v>0</v>
      </c>
      <c r="M288" s="465">
        <f t="shared" si="155"/>
        <v>0</v>
      </c>
      <c r="N288" s="465">
        <f t="shared" si="155"/>
        <v>0</v>
      </c>
      <c r="O288" s="550">
        <f>'[1]Model-R'!R287</f>
        <v>0</v>
      </c>
    </row>
    <row r="289" s="23" customFormat="1" ht="15" customHeight="1" outlineLevel="1">
      <c r="A289" s="1"/>
      <c r="B289" s="284"/>
      <c r="C289" s="12"/>
      <c r="D289" s="14"/>
      <c r="E289" s="14"/>
      <c r="F289" s="14"/>
      <c r="G289" s="14"/>
      <c r="H289" s="30"/>
      <c r="I289" s="30"/>
      <c r="J289" s="30"/>
      <c r="K289" s="30"/>
      <c r="L289" s="30"/>
      <c r="M289" s="30"/>
      <c r="N289" s="30"/>
      <c r="O289" s="1"/>
    </row>
    <row r="290" s="23" customFormat="1" ht="15" customHeight="1" outlineLevel="1">
      <c r="A290" s="1"/>
      <c r="B290" s="284" t="s">
        <v>246</v>
      </c>
      <c r="C290" s="12"/>
      <c r="D290" s="14"/>
      <c r="E290" s="14"/>
      <c r="F290" s="551" t="s">
        <v>247</v>
      </c>
      <c r="G290" s="14"/>
      <c r="H290" s="242"/>
      <c r="I290" s="522">
        <f>[1]Inputs!$F$63</f>
        <v>0.050000000000000003</v>
      </c>
      <c r="J290" s="522">
        <f>I290</f>
        <v>0.050000000000000003</v>
      </c>
      <c r="K290" s="522">
        <f>J290</f>
        <v>0.050000000000000003</v>
      </c>
      <c r="L290" s="522">
        <f>K290</f>
        <v>0.050000000000000003</v>
      </c>
      <c r="M290" s="522">
        <f>L290</f>
        <v>0.050000000000000003</v>
      </c>
      <c r="N290" s="522">
        <f>M290</f>
        <v>0.050000000000000003</v>
      </c>
      <c r="O290" s="1"/>
    </row>
    <row r="291" s="23" customFormat="1" ht="15" customHeight="1" outlineLevel="1">
      <c r="A291" s="1"/>
      <c r="B291" s="284" t="s">
        <v>169</v>
      </c>
      <c r="C291" s="1"/>
      <c r="D291" s="1"/>
      <c r="E291" s="1"/>
      <c r="F291" s="552"/>
      <c r="G291" s="550">
        <f>'[1]Model-R'!V290</f>
        <v>0</v>
      </c>
      <c r="H291" s="1"/>
      <c r="I291" s="465">
        <f t="shared" ref="I291:N291" si="156">IF($F$436=1,AVERAGE(I288,I286)*I290,I286*I290)</f>
        <v>0</v>
      </c>
      <c r="J291" s="465">
        <f t="shared" si="156"/>
        <v>0</v>
      </c>
      <c r="K291" s="465">
        <f t="shared" si="156"/>
        <v>0</v>
      </c>
      <c r="L291" s="465">
        <f t="shared" si="156"/>
        <v>0</v>
      </c>
      <c r="M291" s="465">
        <f t="shared" si="156"/>
        <v>0</v>
      </c>
      <c r="N291" s="465">
        <f t="shared" si="156"/>
        <v>0</v>
      </c>
      <c r="O291" s="550">
        <f>'[1]Model-R'!R290</f>
        <v>0</v>
      </c>
    </row>
    <row r="292" s="23" customFormat="1" ht="15" customHeight="1" outlineLevel="1">
      <c r="A292" s="1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"/>
    </row>
    <row r="293" s="23" customFormat="1" ht="15" customHeight="1" outlineLevel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="23" customFormat="1" ht="15" customHeight="1" outlineLevel="1">
      <c r="A294" s="1"/>
      <c r="B294" s="284"/>
      <c r="C294" s="1"/>
      <c r="D294" s="1"/>
      <c r="E294" s="1"/>
      <c r="F294" s="1"/>
      <c r="G294" s="1"/>
      <c r="H294" s="1"/>
      <c r="I294" s="30"/>
      <c r="J294" s="30"/>
      <c r="K294" s="30"/>
      <c r="L294" s="30"/>
      <c r="M294" s="30"/>
      <c r="N294" s="30"/>
      <c r="O294" s="1"/>
    </row>
    <row r="295" s="23" customFormat="1" ht="15" customHeight="1" outlineLevel="1">
      <c r="A295" s="1"/>
      <c r="B295" s="284" t="s">
        <v>169</v>
      </c>
      <c r="C295" s="1"/>
      <c r="D295" s="1"/>
      <c r="E295" s="1"/>
      <c r="F295" s="1"/>
      <c r="G295" s="1"/>
      <c r="H295" s="1"/>
      <c r="I295" s="465">
        <f t="shared" ref="I295:N295" si="157">I291+I259</f>
        <v>1110</v>
      </c>
      <c r="J295" s="465">
        <f t="shared" si="157"/>
        <v>930</v>
      </c>
      <c r="K295" s="465">
        <f t="shared" si="157"/>
        <v>780</v>
      </c>
      <c r="L295" s="465">
        <f t="shared" si="157"/>
        <v>630</v>
      </c>
      <c r="M295" s="465">
        <f t="shared" si="157"/>
        <v>450</v>
      </c>
      <c r="N295" s="465">
        <f t="shared" si="157"/>
        <v>300</v>
      </c>
      <c r="O295" s="550">
        <f>'[1]Model-R'!R294</f>
        <v>0</v>
      </c>
    </row>
    <row r="296" s="23" customFormat="1" ht="15" customHeight="1" outlineLevel="1">
      <c r="A296" s="1"/>
      <c r="B296" s="284" t="s">
        <v>256</v>
      </c>
      <c r="C296" s="1"/>
      <c r="D296" s="1"/>
      <c r="E296" s="1"/>
      <c r="F296" s="1"/>
      <c r="G296" s="1"/>
      <c r="H296" s="1"/>
      <c r="I296" s="465">
        <f t="shared" ref="I296:N296" si="158">I247*-1</f>
        <v>-84.09999100000006</v>
      </c>
      <c r="J296" s="465">
        <f t="shared" si="158"/>
        <v>-110.66678842690764</v>
      </c>
      <c r="K296" s="465">
        <f t="shared" si="158"/>
        <v>-160.91112548275879</v>
      </c>
      <c r="L296" s="465">
        <f t="shared" si="158"/>
        <v>-184.93385964724126</v>
      </c>
      <c r="M296" s="465">
        <f t="shared" si="158"/>
        <v>-240.31815425218258</v>
      </c>
      <c r="N296" s="465">
        <f t="shared" si="158"/>
        <v>-296.19420045024231</v>
      </c>
      <c r="O296" s="550">
        <f>'[1]Model-R'!R295</f>
        <v>0</v>
      </c>
    </row>
    <row r="297" s="23" customFormat="1" ht="15" customHeight="1" outlineLevel="1">
      <c r="A297" s="1"/>
      <c r="B297" s="284" t="s">
        <v>257</v>
      </c>
      <c r="C297" s="1"/>
      <c r="D297" s="1"/>
      <c r="E297" s="1"/>
      <c r="F297" s="1"/>
      <c r="G297" s="1"/>
      <c r="H297" s="1"/>
      <c r="I297" s="553">
        <f t="shared" ref="I297:N297" si="159">SUM(I295:I296)</f>
        <v>1025.900009</v>
      </c>
      <c r="J297" s="553">
        <f t="shared" si="159"/>
        <v>819.3332115730924</v>
      </c>
      <c r="K297" s="553">
        <f t="shared" si="159"/>
        <v>619.08887451724127</v>
      </c>
      <c r="L297" s="553">
        <f t="shared" si="159"/>
        <v>445.06614035275874</v>
      </c>
      <c r="M297" s="553">
        <f t="shared" si="159"/>
        <v>209.68184574781742</v>
      </c>
      <c r="N297" s="553">
        <f t="shared" si="159"/>
        <v>3.805799549757694</v>
      </c>
      <c r="O297" s="550">
        <f>'[1]Model-R'!R296</f>
        <v>0</v>
      </c>
    </row>
    <row r="298" s="23" customFormat="1" ht="15" customHeight="1" outlineLevel="1">
      <c r="A298" s="4"/>
      <c r="B298" s="11"/>
      <c r="C298" s="12"/>
      <c r="D298" s="14"/>
      <c r="E298" s="14"/>
      <c r="F298" s="14"/>
      <c r="G298" s="14"/>
      <c r="H298" s="14"/>
      <c r="I298" s="16"/>
      <c r="J298" s="16"/>
      <c r="K298" s="16"/>
      <c r="L298" s="16"/>
      <c r="M298" s="16"/>
      <c r="N298" s="1"/>
      <c r="O298" s="1"/>
    </row>
    <row r="299" s="23" customFormat="1" ht="6" customHeight="1" outlineLevel="1">
      <c r="A299" s="4"/>
      <c r="B299" s="11"/>
      <c r="C299" s="12"/>
      <c r="D299" s="14"/>
      <c r="E299" s="14"/>
      <c r="F299" s="14"/>
      <c r="G299" s="14"/>
      <c r="H299" s="14"/>
      <c r="I299" s="16"/>
      <c r="J299" s="16"/>
      <c r="K299" s="16"/>
      <c r="L299" s="16"/>
      <c r="M299" s="16"/>
      <c r="N299" s="1"/>
      <c r="O299" s="1"/>
    </row>
    <row r="300" s="23" customFormat="1" ht="15" customHeight="1" outlineLevel="1">
      <c r="B300" s="11"/>
      <c r="C300" s="12"/>
      <c r="D300" s="14"/>
      <c r="E300" s="14"/>
      <c r="F300" s="14"/>
      <c r="G300" s="14"/>
      <c r="H300" s="14"/>
      <c r="I300" s="16"/>
      <c r="J300" s="16"/>
      <c r="K300" s="16"/>
      <c r="L300" s="16"/>
      <c r="M300" s="16"/>
      <c r="N300" s="438"/>
      <c r="O300" s="438"/>
    </row>
    <row r="301" s="23" customFormat="1" ht="15" customHeight="1" outlineLevel="1">
      <c r="B301" s="500"/>
      <c r="C301" s="281"/>
      <c r="D301" s="501"/>
      <c r="E301" s="501"/>
      <c r="F301" s="501"/>
      <c r="G301" s="501"/>
      <c r="H301" s="501"/>
      <c r="I301" s="502"/>
      <c r="J301" s="502"/>
      <c r="K301" s="502"/>
      <c r="L301" s="502"/>
      <c r="M301" s="502"/>
      <c r="N301" s="502"/>
      <c r="O301" s="438"/>
    </row>
    <row r="302" s="23" customFormat="1" ht="15" customHeight="1" outlineLevel="1">
      <c r="B302" s="11"/>
      <c r="C302" s="12"/>
      <c r="D302" s="14"/>
      <c r="E302" s="14"/>
      <c r="F302" s="14"/>
      <c r="G302" s="14"/>
      <c r="H302" s="14"/>
      <c r="I302" s="16"/>
      <c r="J302" s="16"/>
      <c r="K302" s="16"/>
      <c r="L302" s="16"/>
      <c r="M302" s="16"/>
      <c r="N302" s="16"/>
      <c r="O302" s="438"/>
    </row>
    <row r="303" s="23" customFormat="1" ht="15" customHeight="1" outlineLevel="1">
      <c r="A303" s="23" t="s">
        <v>0</v>
      </c>
      <c r="B303" s="6" t="s">
        <v>258</v>
      </c>
      <c r="C303" s="7"/>
      <c r="D303" s="459"/>
      <c r="E303" s="459"/>
      <c r="F303" s="9"/>
      <c r="G303" s="9"/>
      <c r="H303" s="9"/>
      <c r="I303" s="460"/>
      <c r="J303" s="461"/>
      <c r="K303" s="461"/>
      <c r="L303" s="461"/>
      <c r="M303" s="461"/>
      <c r="N303" s="461"/>
      <c r="O303" s="477"/>
    </row>
    <row r="304" s="23" customFormat="1" ht="15" customHeight="1" outlineLevel="1">
      <c r="B304" s="176"/>
      <c r="C304" s="12"/>
      <c r="D304" s="13"/>
      <c r="E304" s="13"/>
      <c r="F304" s="10"/>
      <c r="G304" s="10"/>
      <c r="H304" s="10"/>
      <c r="I304" s="10"/>
      <c r="J304" s="10"/>
      <c r="K304" s="10"/>
      <c r="L304" s="10"/>
      <c r="M304" s="10"/>
      <c r="N304" s="10"/>
      <c r="O304" s="477"/>
    </row>
    <row r="305" s="23" customFormat="1" ht="15" customHeight="1" outlineLevel="1">
      <c r="B305" s="11" t="s">
        <v>3</v>
      </c>
      <c r="C305" s="12"/>
      <c r="D305" s="14"/>
      <c r="E305" s="14"/>
      <c r="F305" s="14"/>
      <c r="G305" s="14"/>
      <c r="H305" s="548">
        <f>H267</f>
        <v>2022</v>
      </c>
      <c r="I305" s="548">
        <f t="shared" ref="I305:N305" si="160">I267</f>
        <v>2023</v>
      </c>
      <c r="J305" s="548">
        <f t="shared" si="160"/>
        <v>2024</v>
      </c>
      <c r="K305" s="548">
        <f t="shared" si="160"/>
        <v>2025</v>
      </c>
      <c r="L305" s="548">
        <f t="shared" si="160"/>
        <v>2026</v>
      </c>
      <c r="M305" s="548">
        <f t="shared" si="160"/>
        <v>2027</v>
      </c>
      <c r="N305" s="549" t="str">
        <f t="shared" si="160"/>
        <v>Term</v>
      </c>
      <c r="O305" s="477"/>
    </row>
    <row r="306" s="23" customFormat="1" ht="6" customHeight="1" outlineLevel="1">
      <c r="A306" s="4"/>
      <c r="B306" s="11" t="str">
        <f>B$6</f>
        <v xml:space="preserve">Days in Period</v>
      </c>
      <c r="C306" s="12"/>
      <c r="D306" s="14"/>
      <c r="E306" s="14"/>
      <c r="F306" s="14"/>
      <c r="G306" s="14"/>
      <c r="H306" s="14"/>
      <c r="I306" s="16"/>
      <c r="J306" s="16"/>
      <c r="K306" s="16"/>
      <c r="L306" s="16"/>
      <c r="M306" s="16"/>
      <c r="N306" s="16"/>
      <c r="O306" s="1"/>
    </row>
    <row r="307" s="23" customFormat="1" ht="15" customHeight="1" outlineLevel="1">
      <c r="B307" s="11"/>
      <c r="C307" s="12"/>
      <c r="D307" s="14"/>
      <c r="E307" s="14"/>
      <c r="F307" s="14"/>
      <c r="G307" s="14"/>
      <c r="H307" s="14"/>
      <c r="I307" s="16"/>
      <c r="J307" s="16"/>
      <c r="K307" s="16"/>
      <c r="L307" s="16"/>
      <c r="M307" s="16"/>
      <c r="N307" s="16"/>
      <c r="O307" s="438"/>
    </row>
    <row r="308" s="23" customFormat="1" ht="15" customHeight="1" outlineLevel="1">
      <c r="B308" s="11"/>
      <c r="C308" s="12"/>
      <c r="D308" s="14"/>
      <c r="E308" s="14"/>
      <c r="F308" s="14"/>
      <c r="G308" s="14"/>
      <c r="H308" s="14"/>
      <c r="I308" s="16"/>
      <c r="J308" s="16"/>
      <c r="K308" s="16"/>
      <c r="L308" s="16"/>
      <c r="M308" s="16"/>
      <c r="N308" s="16"/>
      <c r="O308" s="438"/>
    </row>
    <row r="309" s="23" customFormat="1" ht="15" customHeight="1" outlineLevel="1">
      <c r="A309" s="1"/>
      <c r="B309" s="61" t="s">
        <v>259</v>
      </c>
      <c r="C309" s="12"/>
      <c r="D309" s="14"/>
      <c r="E309" s="14"/>
      <c r="F309" s="14"/>
      <c r="G309" s="14"/>
      <c r="H309" s="14"/>
      <c r="I309" s="16"/>
      <c r="J309" s="16"/>
      <c r="K309" s="16"/>
      <c r="L309" s="16"/>
      <c r="M309" s="16"/>
      <c r="N309" s="16"/>
      <c r="O309" s="1"/>
    </row>
    <row r="310" s="23" customFormat="1" ht="15" customHeight="1" outlineLevel="1">
      <c r="A310" s="1"/>
      <c r="B310" s="61"/>
      <c r="C310" s="12"/>
      <c r="D310" s="14"/>
      <c r="E310" s="14"/>
      <c r="F310" s="14"/>
      <c r="G310" s="14"/>
      <c r="H310" s="14"/>
      <c r="I310" s="16"/>
      <c r="J310" s="16"/>
      <c r="K310" s="16"/>
      <c r="L310" s="16"/>
      <c r="M310" s="16"/>
      <c r="N310" s="16"/>
      <c r="O310" s="1"/>
    </row>
    <row r="311" ht="15" customHeight="1" outlineLevel="1">
      <c r="B311" s="284" t="s">
        <v>244</v>
      </c>
      <c r="C311" s="12"/>
      <c r="D311" s="14"/>
      <c r="E311" s="14"/>
      <c r="F311" s="14"/>
      <c r="G311" s="14"/>
      <c r="H311" s="30"/>
      <c r="I311" s="465">
        <f t="shared" ref="I311:N311" si="161">H313</f>
        <v>38669.700000000084</v>
      </c>
      <c r="J311" s="465">
        <f t="shared" si="161"/>
        <v>37669.700000000084</v>
      </c>
      <c r="K311" s="465">
        <f t="shared" si="161"/>
        <v>36669.700000000084</v>
      </c>
      <c r="L311" s="465">
        <f t="shared" si="161"/>
        <v>35669.700000000084</v>
      </c>
      <c r="M311" s="465">
        <f t="shared" si="161"/>
        <v>34669.700000000084</v>
      </c>
      <c r="N311" s="465">
        <f t="shared" si="161"/>
        <v>33669.700000000084</v>
      </c>
      <c r="O311" s="550">
        <f>'[1]Model-R'!R310</f>
        <v>0</v>
      </c>
      <c r="P311" s="23" t="s">
        <v>160</v>
      </c>
    </row>
    <row r="312" ht="15" customHeight="1" outlineLevel="1">
      <c r="B312" s="284" t="s">
        <v>45</v>
      </c>
      <c r="C312" s="12"/>
      <c r="D312" s="14"/>
      <c r="E312" s="14"/>
      <c r="F312" s="14"/>
      <c r="G312" s="14"/>
      <c r="H312" s="290"/>
      <c r="I312" s="472">
        <f>Inputs!G42</f>
        <v>-1000</v>
      </c>
      <c r="J312" s="472">
        <f>Inputs!H42</f>
        <v>-1000</v>
      </c>
      <c r="K312" s="472">
        <f>Inputs!I42</f>
        <v>-1000</v>
      </c>
      <c r="L312" s="472">
        <f>Inputs!J42</f>
        <v>-1000</v>
      </c>
      <c r="M312" s="472">
        <f>Inputs!K42</f>
        <v>-1000</v>
      </c>
      <c r="N312" s="472">
        <f>Inputs!L42</f>
        <v>-1000</v>
      </c>
      <c r="P312" s="23" t="s">
        <v>160</v>
      </c>
    </row>
    <row r="313" ht="15" customHeight="1" outlineLevel="1">
      <c r="B313" s="284" t="s">
        <v>245</v>
      </c>
      <c r="C313" s="12"/>
      <c r="D313" s="14"/>
      <c r="E313" s="14"/>
      <c r="F313" s="14"/>
      <c r="G313" s="14"/>
      <c r="H313" s="465">
        <f>H111</f>
        <v>38669.700000000084</v>
      </c>
      <c r="I313" s="465">
        <f t="shared" ref="I313:N313" si="162">SUM(I311:I312)</f>
        <v>37669.700000000084</v>
      </c>
      <c r="J313" s="465">
        <f t="shared" si="162"/>
        <v>36669.700000000084</v>
      </c>
      <c r="K313" s="465">
        <f t="shared" si="162"/>
        <v>35669.700000000084</v>
      </c>
      <c r="L313" s="465">
        <f t="shared" si="162"/>
        <v>34669.700000000084</v>
      </c>
      <c r="M313" s="465">
        <f t="shared" si="162"/>
        <v>33669.700000000084</v>
      </c>
      <c r="N313" s="465">
        <f t="shared" si="162"/>
        <v>32669.700000000084</v>
      </c>
      <c r="O313" s="550">
        <f>'[1]Model-R'!R312</f>
        <v>0</v>
      </c>
      <c r="P313" s="23" t="s">
        <v>160</v>
      </c>
    </row>
    <row r="314" ht="15" customHeight="1" outlineLevel="1">
      <c r="P314" s="23" t="s">
        <v>160</v>
      </c>
    </row>
    <row r="315" ht="15" customHeight="1" outlineLevel="1">
      <c r="B315" s="284" t="s">
        <v>175</v>
      </c>
      <c r="C315" s="12"/>
      <c r="D315" s="14"/>
      <c r="E315" s="14"/>
      <c r="F315" s="14"/>
      <c r="G315" s="14"/>
      <c r="H315" s="30"/>
      <c r="I315" s="465">
        <f t="shared" ref="I315:N315" si="163">I40</f>
        <v>10685.405578874999</v>
      </c>
      <c r="J315" s="465">
        <f t="shared" si="163"/>
        <v>10542.839122013935</v>
      </c>
      <c r="K315" s="465">
        <f t="shared" si="163"/>
        <v>10407.175021901636</v>
      </c>
      <c r="L315" s="465">
        <f t="shared" si="163"/>
        <v>10224.359902668235</v>
      </c>
      <c r="M315" s="465">
        <f t="shared" si="163"/>
        <v>10154.813937669864</v>
      </c>
      <c r="N315" s="465">
        <f t="shared" si="163"/>
        <v>10107.508683122105</v>
      </c>
      <c r="O315" s="550">
        <f>'[1]Model-R'!R314</f>
        <v>0</v>
      </c>
      <c r="P315" s="23" t="s">
        <v>160</v>
      </c>
    </row>
    <row r="316" ht="15" customHeight="1" outlineLevel="1">
      <c r="B316" s="284" t="s">
        <v>260</v>
      </c>
      <c r="C316" s="12"/>
      <c r="D316" s="14"/>
      <c r="E316" s="14"/>
      <c r="F316" s="14"/>
      <c r="G316" s="14"/>
      <c r="H316" s="30"/>
      <c r="I316" s="522">
        <f>Inputs!$L$117</f>
        <v>0.20000000000000001</v>
      </c>
      <c r="J316" s="522">
        <f>Inputs!$L$117</f>
        <v>0.20000000000000001</v>
      </c>
      <c r="K316" s="522">
        <f>Inputs!$L$117</f>
        <v>0.20000000000000001</v>
      </c>
      <c r="L316" s="522">
        <f>Inputs!$L$117</f>
        <v>0.20000000000000001</v>
      </c>
      <c r="M316" s="522">
        <f>Inputs!$L$117</f>
        <v>0.20000000000000001</v>
      </c>
      <c r="N316" s="522">
        <f>Inputs!$L$117</f>
        <v>0.20000000000000001</v>
      </c>
      <c r="P316" s="23" t="s">
        <v>160</v>
      </c>
    </row>
    <row r="317" ht="15" customHeight="1" outlineLevel="1">
      <c r="B317" s="284" t="s">
        <v>261</v>
      </c>
      <c r="C317" s="12"/>
      <c r="D317" s="14"/>
      <c r="E317" s="14"/>
      <c r="F317" s="14"/>
      <c r="G317" s="14"/>
      <c r="H317" s="30"/>
      <c r="I317" s="465">
        <f t="shared" ref="I317:N317" si="164">I315*I316</f>
        <v>2137.0811157749999</v>
      </c>
      <c r="J317" s="465">
        <f t="shared" si="164"/>
        <v>2108.5678244027872</v>
      </c>
      <c r="K317" s="465">
        <f t="shared" si="164"/>
        <v>2081.4350043803274</v>
      </c>
      <c r="L317" s="465">
        <f t="shared" si="164"/>
        <v>2044.871980533647</v>
      </c>
      <c r="M317" s="465">
        <f t="shared" si="164"/>
        <v>2030.9627875339729</v>
      </c>
      <c r="N317" s="465">
        <f t="shared" si="164"/>
        <v>2021.501736624421</v>
      </c>
      <c r="O317" s="550">
        <f>'[1]Model-R'!R316</f>
        <v>0</v>
      </c>
      <c r="P317" s="23" t="s">
        <v>160</v>
      </c>
    </row>
    <row r="318" ht="15" customHeight="1" outlineLevel="1">
      <c r="B318" s="284"/>
      <c r="C318" s="12"/>
      <c r="D318" s="14"/>
      <c r="E318" s="14"/>
      <c r="F318" s="14"/>
      <c r="G318" s="14"/>
      <c r="H318" s="30"/>
      <c r="I318" s="30"/>
      <c r="J318" s="30"/>
      <c r="K318" s="30"/>
      <c r="L318" s="30"/>
      <c r="M318" s="30"/>
      <c r="N318" s="30"/>
      <c r="P318" s="23"/>
    </row>
    <row r="319" ht="15" customHeight="1" outlineLevel="1">
      <c r="B319" s="554"/>
      <c r="C319" s="281"/>
      <c r="D319" s="501"/>
      <c r="E319" s="501"/>
      <c r="F319" s="501"/>
      <c r="G319" s="501"/>
      <c r="H319" s="545"/>
      <c r="I319" s="545"/>
      <c r="J319" s="545"/>
      <c r="K319" s="545"/>
      <c r="L319" s="545"/>
      <c r="M319" s="545"/>
      <c r="N319" s="545"/>
      <c r="P319" s="23"/>
    </row>
    <row r="320" ht="15" customHeight="1" outlineLevel="1">
      <c r="B320" s="284"/>
      <c r="C320" s="12"/>
      <c r="D320" s="14"/>
      <c r="E320" s="14"/>
      <c r="F320" s="14"/>
      <c r="G320" s="14"/>
      <c r="H320" s="30"/>
      <c r="I320" s="30"/>
      <c r="J320" s="30"/>
      <c r="K320" s="30"/>
      <c r="L320" s="30"/>
      <c r="M320" s="30"/>
      <c r="N320" s="30"/>
      <c r="P320" s="23"/>
    </row>
    <row r="321" ht="15" customHeight="1" outlineLevel="1">
      <c r="P321" s="23"/>
    </row>
    <row r="322" ht="15" customHeight="1" outlineLevel="1">
      <c r="B322" s="61" t="s">
        <v>262</v>
      </c>
      <c r="C322" s="12"/>
      <c r="D322" s="14"/>
      <c r="E322" s="14"/>
      <c r="F322" s="14"/>
      <c r="G322" s="14"/>
      <c r="H322" s="14"/>
      <c r="I322" s="16"/>
      <c r="J322" s="16"/>
      <c r="K322" s="16"/>
      <c r="L322" s="16"/>
      <c r="M322" s="16"/>
      <c r="N322" s="16"/>
      <c r="P322" s="23"/>
    </row>
    <row r="323" ht="15" customHeight="1" outlineLevel="1">
      <c r="B323" s="61"/>
      <c r="C323" s="12"/>
      <c r="D323" s="14"/>
      <c r="E323" s="14"/>
      <c r="F323" s="14"/>
      <c r="G323" s="14"/>
      <c r="H323" s="14"/>
      <c r="I323" s="16"/>
      <c r="J323" s="16"/>
      <c r="K323" s="16"/>
      <c r="L323" s="16"/>
      <c r="M323" s="16"/>
      <c r="N323" s="16"/>
      <c r="P323" s="23"/>
    </row>
    <row r="324" s="23" customFormat="1" ht="15" customHeight="1" outlineLevel="1">
      <c r="A324" s="1"/>
      <c r="B324" s="284" t="s">
        <v>244</v>
      </c>
      <c r="C324" s="12"/>
      <c r="D324" s="14"/>
      <c r="E324" s="14"/>
      <c r="F324" s="14"/>
      <c r="G324" s="14"/>
      <c r="H324" s="30"/>
      <c r="I324" s="465">
        <f t="shared" ref="I324:N324" si="165">H327</f>
        <v>20433.299099999997</v>
      </c>
      <c r="J324" s="465">
        <f t="shared" si="165"/>
        <v>28981.623563099994</v>
      </c>
      <c r="K324" s="465">
        <f t="shared" si="165"/>
        <v>37415.894860711145</v>
      </c>
      <c r="L324" s="465">
        <f t="shared" si="165"/>
        <v>45741.634878232449</v>
      </c>
      <c r="M324" s="465">
        <f t="shared" si="165"/>
        <v>53921.12280036704</v>
      </c>
      <c r="N324" s="465">
        <f t="shared" si="165"/>
        <v>62044.973950502936</v>
      </c>
      <c r="O324" s="550">
        <f>'[1]Model-R'!R323</f>
        <v>0</v>
      </c>
      <c r="P324" s="23" t="s">
        <v>160</v>
      </c>
    </row>
    <row r="325" s="23" customFormat="1" ht="15" customHeight="1" outlineLevel="1">
      <c r="A325" s="1"/>
      <c r="B325" s="284" t="s">
        <v>175</v>
      </c>
      <c r="C325" s="12"/>
      <c r="D325" s="14"/>
      <c r="E325" s="14"/>
      <c r="F325" s="14"/>
      <c r="G325" s="14"/>
      <c r="H325" s="30"/>
      <c r="I325" s="465">
        <f t="shared" ref="I325:N325" si="166">I315</f>
        <v>10685.405578874999</v>
      </c>
      <c r="J325" s="465">
        <f t="shared" si="166"/>
        <v>10542.839122013935</v>
      </c>
      <c r="K325" s="465">
        <f t="shared" si="166"/>
        <v>10407.175021901636</v>
      </c>
      <c r="L325" s="465">
        <f t="shared" si="166"/>
        <v>10224.359902668235</v>
      </c>
      <c r="M325" s="465">
        <f t="shared" si="166"/>
        <v>10154.813937669864</v>
      </c>
      <c r="N325" s="465">
        <f t="shared" si="166"/>
        <v>10107.508683122105</v>
      </c>
      <c r="O325" s="550">
        <f>'[1]Model-R'!R324</f>
        <v>0</v>
      </c>
      <c r="P325" s="23" t="s">
        <v>160</v>
      </c>
    </row>
    <row r="326" s="23" customFormat="1" ht="15" customHeight="1" outlineLevel="1">
      <c r="A326" s="1"/>
      <c r="B326" s="284" t="s">
        <v>189</v>
      </c>
      <c r="C326" s="12"/>
      <c r="D326" s="14"/>
      <c r="E326" s="14"/>
      <c r="F326" s="14"/>
      <c r="G326" s="14"/>
      <c r="H326" s="290"/>
      <c r="I326" s="472">
        <f t="shared" ref="I326:N326" si="167">I317*-1</f>
        <v>-2137.0811157749999</v>
      </c>
      <c r="J326" s="472">
        <f t="shared" si="167"/>
        <v>-2108.5678244027872</v>
      </c>
      <c r="K326" s="472">
        <f t="shared" si="167"/>
        <v>-2081.4350043803274</v>
      </c>
      <c r="L326" s="472">
        <f t="shared" si="167"/>
        <v>-2044.871980533647</v>
      </c>
      <c r="M326" s="472">
        <f t="shared" si="167"/>
        <v>-2030.9627875339729</v>
      </c>
      <c r="N326" s="472">
        <f t="shared" si="167"/>
        <v>-2021.501736624421</v>
      </c>
      <c r="O326" s="550">
        <f>'[1]Model-R'!R325</f>
        <v>0</v>
      </c>
      <c r="P326" s="23" t="s">
        <v>160</v>
      </c>
    </row>
    <row r="327" s="23" customFormat="1" ht="15" customHeight="1">
      <c r="A327" s="1"/>
      <c r="B327" s="284" t="s">
        <v>245</v>
      </c>
      <c r="C327" s="12"/>
      <c r="D327" s="14"/>
      <c r="E327" s="14"/>
      <c r="F327" s="14"/>
      <c r="G327" s="14"/>
      <c r="H327" s="465">
        <f>H112</f>
        <v>20433.299099999997</v>
      </c>
      <c r="I327" s="465">
        <f t="shared" ref="I327:N327" si="168">SUM(I324:I326)</f>
        <v>28981.623563099994</v>
      </c>
      <c r="J327" s="465">
        <f t="shared" si="168"/>
        <v>37415.894860711145</v>
      </c>
      <c r="K327" s="465">
        <f t="shared" si="168"/>
        <v>45741.634878232449</v>
      </c>
      <c r="L327" s="465">
        <f t="shared" si="168"/>
        <v>53921.12280036704</v>
      </c>
      <c r="M327" s="465">
        <f t="shared" si="168"/>
        <v>62044.973950502936</v>
      </c>
      <c r="N327" s="465">
        <f t="shared" si="168"/>
        <v>70130.980897000612</v>
      </c>
      <c r="O327" s="550">
        <f>'[1]Model-R'!R326</f>
        <v>0</v>
      </c>
      <c r="P327" s="23" t="s">
        <v>160</v>
      </c>
    </row>
    <row r="328" s="23" customFormat="1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="23" customFormat="1" ht="15" customHeight="1" outlineLevel="1">
      <c r="B329" s="500"/>
      <c r="C329" s="281"/>
      <c r="D329" s="501"/>
      <c r="E329" s="501"/>
      <c r="F329" s="501"/>
      <c r="G329" s="501"/>
      <c r="H329" s="501"/>
      <c r="I329" s="502"/>
      <c r="J329" s="502"/>
      <c r="K329" s="502"/>
      <c r="L329" s="502"/>
      <c r="M329" s="502" t="s">
        <v>0</v>
      </c>
      <c r="N329" s="502" t="s">
        <v>0</v>
      </c>
      <c r="O329" s="438"/>
    </row>
    <row r="330" s="23" customFormat="1" ht="15" customHeight="1" outlineLevel="1">
      <c r="B330" s="11"/>
      <c r="C330" s="12"/>
      <c r="D330" s="14"/>
      <c r="E330" s="14"/>
      <c r="F330" s="14"/>
      <c r="G330" s="14"/>
      <c r="H330" s="14"/>
      <c r="I330" s="16"/>
      <c r="J330" s="16"/>
      <c r="K330" s="16"/>
      <c r="L330" s="16"/>
      <c r="M330" s="16"/>
      <c r="N330" s="16"/>
      <c r="O330" s="59"/>
    </row>
    <row r="331" s="23" customFormat="1" ht="15" customHeight="1" outlineLevel="1">
      <c r="B331" s="6" t="s">
        <v>263</v>
      </c>
      <c r="C331" s="7"/>
      <c r="D331" s="459"/>
      <c r="E331" s="459"/>
      <c r="F331" s="9"/>
      <c r="G331" s="9"/>
      <c r="H331" s="9"/>
      <c r="I331" s="460"/>
      <c r="J331" s="461"/>
      <c r="K331" s="461"/>
      <c r="L331" s="461"/>
      <c r="M331" s="461"/>
      <c r="N331" s="401"/>
      <c r="O331" s="59"/>
    </row>
    <row r="332" s="23" customFormat="1" ht="15" customHeight="1" outlineLevel="1">
      <c r="B332" s="176"/>
      <c r="C332" s="12"/>
      <c r="D332" s="13"/>
      <c r="E332" s="13"/>
      <c r="F332" s="10"/>
      <c r="G332" s="10"/>
      <c r="H332" s="10"/>
      <c r="I332" s="10"/>
      <c r="J332" s="10"/>
      <c r="K332" s="10"/>
      <c r="L332" s="10"/>
      <c r="M332" s="10"/>
      <c r="O332" s="59"/>
    </row>
    <row r="333" s="23" customFormat="1" ht="15" customHeight="1" outlineLevel="1">
      <c r="B333" s="11" t="s">
        <v>3</v>
      </c>
      <c r="C333" s="12"/>
      <c r="D333" s="14"/>
      <c r="E333" s="14"/>
      <c r="F333" s="388">
        <f t="shared" ref="F333:N396" si="169">F$3</f>
        <v>2020</v>
      </c>
      <c r="G333" s="388">
        <f t="shared" si="169"/>
        <v>2021</v>
      </c>
      <c r="H333" s="388">
        <f t="shared" si="169"/>
        <v>2022</v>
      </c>
      <c r="I333" s="389">
        <f t="shared" si="169"/>
        <v>2023</v>
      </c>
      <c r="J333" s="389">
        <f t="shared" si="169"/>
        <v>2024</v>
      </c>
      <c r="K333" s="389">
        <f t="shared" si="169"/>
        <v>2025</v>
      </c>
      <c r="L333" s="389">
        <f t="shared" si="169"/>
        <v>2026</v>
      </c>
      <c r="M333" s="389">
        <f t="shared" si="169"/>
        <v>2027</v>
      </c>
      <c r="N333" s="177"/>
      <c r="O333" s="59"/>
    </row>
    <row r="334" s="23" customFormat="1" ht="15" customHeight="1" outlineLevel="1">
      <c r="B334" s="11" t="str">
        <f>$B$4</f>
        <v xml:space="preserve">Model Running: Base Case Drivers</v>
      </c>
      <c r="C334" s="12"/>
      <c r="D334" s="14"/>
      <c r="E334" s="14"/>
      <c r="F334" s="14"/>
      <c r="G334" s="14"/>
      <c r="H334" s="14"/>
      <c r="I334" s="16"/>
      <c r="J334" s="16"/>
      <c r="K334" s="16"/>
      <c r="L334" s="16"/>
      <c r="M334" s="16"/>
      <c r="N334" s="16"/>
      <c r="O334" s="59"/>
    </row>
    <row r="335" s="23" customFormat="1" ht="15" customHeight="1" outlineLevel="1">
      <c r="B335" s="11"/>
      <c r="C335" s="12"/>
      <c r="D335" s="14"/>
      <c r="E335" s="14"/>
      <c r="F335" s="14"/>
      <c r="G335" s="14"/>
      <c r="H335" s="14"/>
      <c r="I335" s="16"/>
      <c r="J335" s="16"/>
      <c r="K335" s="16"/>
      <c r="L335" s="16"/>
      <c r="M335" s="16"/>
      <c r="O335" s="59"/>
    </row>
    <row r="336" s="23" customFormat="1" ht="15" customHeight="1" outlineLevel="1">
      <c r="B336" s="73" t="s">
        <v>264</v>
      </c>
      <c r="C336" s="12"/>
      <c r="D336" s="14"/>
      <c r="E336" s="14"/>
      <c r="G336" s="289"/>
      <c r="H336" s="30"/>
      <c r="I336" s="462">
        <f t="shared" ref="I336:M336" si="170">I34</f>
        <v>14247.2074385</v>
      </c>
      <c r="J336" s="463">
        <f t="shared" si="170"/>
        <v>14057.118829351912</v>
      </c>
      <c r="K336" s="463">
        <f t="shared" si="170"/>
        <v>13876.233362535513</v>
      </c>
      <c r="L336" s="463">
        <f t="shared" si="170"/>
        <v>13632.479870224313</v>
      </c>
      <c r="M336" s="391">
        <f t="shared" si="170"/>
        <v>13539.751916893152</v>
      </c>
      <c r="N336" s="391"/>
      <c r="O336" s="438"/>
    </row>
    <row r="337" s="23" customFormat="1" ht="15" customHeight="1" outlineLevel="1">
      <c r="B337" s="73" t="s">
        <v>265</v>
      </c>
      <c r="C337" s="12"/>
      <c r="D337" s="14"/>
      <c r="E337" s="14"/>
      <c r="F337" s="14"/>
      <c r="G337" s="14"/>
      <c r="H337" s="14"/>
      <c r="I337" s="555">
        <f t="shared" ref="I337:M337" si="171">IF(I347&gt;0,1,0)</f>
        <v>1</v>
      </c>
      <c r="J337" s="556">
        <f t="shared" si="171"/>
        <v>1</v>
      </c>
      <c r="K337" s="556">
        <f t="shared" si="171"/>
        <v>1</v>
      </c>
      <c r="L337" s="556">
        <f t="shared" si="171"/>
        <v>1</v>
      </c>
      <c r="M337" s="557">
        <f t="shared" si="171"/>
        <v>1</v>
      </c>
      <c r="N337" s="557"/>
      <c r="O337" s="438"/>
    </row>
    <row r="338" s="23" customFormat="1" ht="15" customHeight="1" outlineLevel="1">
      <c r="A338" s="23" t="s">
        <v>0</v>
      </c>
      <c r="B338" s="11"/>
      <c r="C338" s="12"/>
      <c r="D338" s="14"/>
      <c r="E338" s="14"/>
      <c r="F338" s="14"/>
      <c r="G338" s="14"/>
      <c r="H338" s="14"/>
      <c r="I338" s="16"/>
      <c r="J338" s="16"/>
      <c r="K338" s="16"/>
      <c r="L338" s="16"/>
      <c r="M338" s="16"/>
      <c r="O338" s="59"/>
    </row>
    <row r="339" s="23" customFormat="1" ht="15" customHeight="1" outlineLevel="1">
      <c r="B339" s="390" t="s">
        <v>101</v>
      </c>
      <c r="C339" s="558"/>
      <c r="D339" s="559">
        <f>$C$17</f>
        <v>0.25</v>
      </c>
      <c r="E339" s="14"/>
      <c r="F339" s="14"/>
      <c r="G339" s="14"/>
      <c r="H339" s="14"/>
      <c r="I339" s="16"/>
      <c r="J339" s="16"/>
      <c r="K339" s="16"/>
      <c r="L339" s="16"/>
      <c r="M339" s="16"/>
      <c r="O339" s="477"/>
    </row>
    <row r="340" s="23" customFormat="1" ht="15" customHeight="1" outlineLevel="1">
      <c r="B340" s="560" t="s">
        <v>266</v>
      </c>
      <c r="C340" s="281"/>
      <c r="D340" s="561">
        <f>IF(M358=0,0,1)</f>
        <v>0</v>
      </c>
      <c r="E340" s="14"/>
      <c r="F340" s="30"/>
      <c r="G340" s="562"/>
      <c r="H340" s="30"/>
      <c r="I340" s="30"/>
      <c r="J340" s="30"/>
      <c r="K340" s="30"/>
      <c r="L340" s="30"/>
      <c r="M340" s="1"/>
      <c r="N340" s="1"/>
    </row>
    <row r="341" s="23" customFormat="1" ht="15" customHeight="1" outlineLevel="1">
      <c r="A341" s="4"/>
      <c r="B341" s="11"/>
      <c r="C341" s="12"/>
      <c r="D341" s="563"/>
      <c r="E341" s="14"/>
      <c r="F341" s="14"/>
      <c r="G341" s="14"/>
      <c r="H341" s="14"/>
      <c r="I341" s="16"/>
      <c r="J341" s="16"/>
      <c r="K341" s="16"/>
      <c r="L341" s="16"/>
      <c r="M341" s="16"/>
      <c r="O341" s="1"/>
    </row>
    <row r="342" s="23" customFormat="1" ht="15" customHeight="1" outlineLevel="1">
      <c r="B342" s="11"/>
      <c r="C342" s="12"/>
      <c r="D342" s="563"/>
      <c r="E342" s="14"/>
      <c r="F342" s="14"/>
      <c r="G342" s="14"/>
      <c r="H342" s="14"/>
      <c r="I342" s="16"/>
      <c r="J342" s="16"/>
      <c r="K342" s="16"/>
      <c r="L342" s="16"/>
      <c r="M342" s="16"/>
    </row>
    <row r="343" s="23" customFormat="1" ht="15" customHeight="1" outlineLevel="1">
      <c r="B343" s="61" t="s">
        <v>267</v>
      </c>
      <c r="C343" s="12"/>
      <c r="D343" s="14"/>
      <c r="E343" s="14"/>
      <c r="F343" s="14"/>
      <c r="G343" s="14"/>
      <c r="H343" s="14"/>
      <c r="I343" s="16"/>
      <c r="J343" s="16"/>
      <c r="K343" s="16"/>
      <c r="L343" s="16"/>
      <c r="M343" s="16"/>
    </row>
    <row r="344" s="23" customFormat="1" ht="15" customHeight="1" outlineLevel="1">
      <c r="B344" s="284" t="s">
        <v>171</v>
      </c>
      <c r="C344" s="12"/>
      <c r="D344" s="14"/>
      <c r="E344" s="14"/>
      <c r="F344" s="14"/>
      <c r="G344" s="14"/>
      <c r="H344" s="30"/>
      <c r="I344" s="465">
        <f t="shared" ref="I344:M344" si="172">I336</f>
        <v>14247.2074385</v>
      </c>
      <c r="J344" s="465">
        <f t="shared" si="172"/>
        <v>14057.118829351912</v>
      </c>
      <c r="K344" s="465">
        <f t="shared" si="172"/>
        <v>13876.233362535513</v>
      </c>
      <c r="L344" s="465">
        <f t="shared" si="172"/>
        <v>13632.479870224313</v>
      </c>
      <c r="M344" s="465">
        <f t="shared" si="172"/>
        <v>13539.751916893152</v>
      </c>
      <c r="N344" s="465"/>
    </row>
    <row r="345" s="23" customFormat="1" ht="15" customHeight="1" outlineLevel="1">
      <c r="B345" s="284" t="s">
        <v>268</v>
      </c>
      <c r="C345" s="12"/>
      <c r="D345" s="14"/>
      <c r="E345" s="14"/>
      <c r="F345" s="14"/>
      <c r="G345" s="14"/>
      <c r="H345" s="242"/>
      <c r="I345" s="465">
        <f t="shared" ref="I345:M345" si="173">I219*-1</f>
        <v>4962.9375</v>
      </c>
      <c r="J345" s="465">
        <f t="shared" si="173"/>
        <v>5412.9375</v>
      </c>
      <c r="K345" s="465">
        <f t="shared" si="173"/>
        <v>5837.9375</v>
      </c>
      <c r="L345" s="465">
        <f t="shared" si="173"/>
        <v>6187.9375</v>
      </c>
      <c r="M345" s="465">
        <f t="shared" si="173"/>
        <v>6437.9375</v>
      </c>
      <c r="N345" s="465"/>
    </row>
    <row r="346" s="23" customFormat="1" ht="15" customHeight="1" outlineLevel="1">
      <c r="B346" s="284" t="s">
        <v>269</v>
      </c>
      <c r="C346" s="12"/>
      <c r="D346" s="14"/>
      <c r="E346" s="14"/>
      <c r="F346" s="14"/>
      <c r="G346" s="14"/>
      <c r="H346" s="242"/>
      <c r="I346" s="465">
        <f t="shared" ref="I346:M346" si="174">I226</f>
        <v>-6631.6499999999996</v>
      </c>
      <c r="J346" s="465">
        <f t="shared" si="174"/>
        <v>-6986.9024999999992</v>
      </c>
      <c r="K346" s="465">
        <f t="shared" si="174"/>
        <v>-7213.8671249999998</v>
      </c>
      <c r="L346" s="465">
        <f t="shared" si="174"/>
        <v>-7181.7870562500002</v>
      </c>
      <c r="M346" s="465">
        <f t="shared" si="174"/>
        <v>-6854.5189978124999</v>
      </c>
      <c r="N346" s="465"/>
    </row>
    <row r="347" s="23" customFormat="1" ht="15" customHeight="1" outlineLevel="1">
      <c r="B347" s="284" t="s">
        <v>270</v>
      </c>
      <c r="C347" s="12"/>
      <c r="D347" s="14"/>
      <c r="E347" s="14"/>
      <c r="F347" s="14"/>
      <c r="G347" s="14"/>
      <c r="H347" s="30"/>
      <c r="I347" s="465">
        <f t="shared" ref="I347:M347" si="175">SUM(I344:I346)</f>
        <v>12578.494938500002</v>
      </c>
      <c r="J347" s="465">
        <f t="shared" si="175"/>
        <v>12483.153829351912</v>
      </c>
      <c r="K347" s="465">
        <f t="shared" si="175"/>
        <v>12500.303737535512</v>
      </c>
      <c r="L347" s="465">
        <f t="shared" si="175"/>
        <v>12638.630313974314</v>
      </c>
      <c r="M347" s="465">
        <f t="shared" si="175"/>
        <v>13123.170419080654</v>
      </c>
      <c r="N347" s="465"/>
    </row>
    <row r="348" s="23" customFormat="1" ht="15" customHeight="1" outlineLevel="1">
      <c r="B348" s="11"/>
      <c r="C348" s="12"/>
      <c r="D348" s="14"/>
      <c r="E348" s="14"/>
      <c r="F348" s="14"/>
      <c r="G348" s="14"/>
      <c r="H348" s="242"/>
      <c r="I348" s="30"/>
      <c r="J348" s="30"/>
      <c r="K348" s="30"/>
      <c r="L348" s="30"/>
      <c r="M348" s="30"/>
      <c r="N348" s="30"/>
    </row>
    <row r="349" s="23" customFormat="1" ht="15" customHeight="1" outlineLevel="1">
      <c r="B349" s="241" t="s">
        <v>271</v>
      </c>
      <c r="C349" s="12"/>
      <c r="D349" s="14"/>
      <c r="E349" s="14"/>
      <c r="F349" s="14"/>
      <c r="G349" s="14"/>
      <c r="H349" s="242"/>
      <c r="I349" s="30"/>
      <c r="J349" s="30"/>
      <c r="K349" s="30"/>
      <c r="L349" s="30"/>
      <c r="M349" s="30"/>
      <c r="N349" s="30"/>
    </row>
    <row r="350" s="23" customFormat="1" ht="15" customHeight="1" outlineLevel="1">
      <c r="B350" s="284" t="s">
        <v>270</v>
      </c>
      <c r="C350" s="12"/>
      <c r="D350" s="14"/>
      <c r="E350" s="14"/>
      <c r="F350" s="14"/>
      <c r="G350" s="14"/>
      <c r="H350" s="30"/>
      <c r="I350" s="465">
        <f t="shared" ref="I350:M350" si="176">I347</f>
        <v>12578.494938500002</v>
      </c>
      <c r="J350" s="465">
        <f t="shared" si="176"/>
        <v>12483.153829351912</v>
      </c>
      <c r="K350" s="465">
        <f t="shared" si="176"/>
        <v>12500.303737535512</v>
      </c>
      <c r="L350" s="465">
        <f t="shared" si="176"/>
        <v>12638.630313974314</v>
      </c>
      <c r="M350" s="465">
        <f t="shared" si="176"/>
        <v>13123.170419080654</v>
      </c>
      <c r="N350" s="465"/>
    </row>
    <row r="351" s="23" customFormat="1" ht="15" customHeight="1" outlineLevel="1">
      <c r="B351" s="287" t="s">
        <v>272</v>
      </c>
      <c r="C351" s="12"/>
      <c r="D351" s="14"/>
      <c r="E351" s="14"/>
      <c r="F351" s="14"/>
      <c r="G351" s="14"/>
      <c r="H351" s="242"/>
      <c r="I351" s="472">
        <f t="shared" ref="I351:M351" si="177">I357</f>
        <v>-12578.494938500002</v>
      </c>
      <c r="J351" s="472">
        <f t="shared" si="177"/>
        <v>-11549.505061499998</v>
      </c>
      <c r="K351" s="472">
        <f t="shared" si="177"/>
        <v>0</v>
      </c>
      <c r="L351" s="472">
        <f t="shared" si="177"/>
        <v>0</v>
      </c>
      <c r="M351" s="472">
        <f t="shared" si="177"/>
        <v>0</v>
      </c>
      <c r="N351" s="472"/>
    </row>
    <row r="352" s="23" customFormat="1" ht="15" customHeight="1" outlineLevel="1">
      <c r="B352" s="284" t="s">
        <v>273</v>
      </c>
      <c r="C352" s="12"/>
      <c r="D352" s="14"/>
      <c r="E352" s="14"/>
      <c r="F352" s="14"/>
      <c r="G352" s="14"/>
      <c r="H352" s="242"/>
      <c r="I352" s="465">
        <f t="shared" ref="I352:M352" si="178">MAX(SUM(I350:I351),0)</f>
        <v>0</v>
      </c>
      <c r="J352" s="465">
        <f t="shared" si="178"/>
        <v>933.64876785191336</v>
      </c>
      <c r="K352" s="465">
        <f t="shared" si="178"/>
        <v>12500.303737535512</v>
      </c>
      <c r="L352" s="465">
        <f t="shared" si="178"/>
        <v>12638.630313974314</v>
      </c>
      <c r="M352" s="465">
        <f t="shared" si="178"/>
        <v>13123.170419080654</v>
      </c>
      <c r="N352" s="465"/>
    </row>
    <row r="353" s="23" customFormat="1" ht="6" customHeight="1" outlineLevel="1">
      <c r="B353" s="11"/>
      <c r="C353" s="12"/>
      <c r="D353" s="14"/>
      <c r="E353" s="14"/>
      <c r="F353" s="14"/>
      <c r="G353" s="14"/>
      <c r="H353" s="242"/>
      <c r="I353" s="242"/>
      <c r="J353" s="242"/>
      <c r="K353" s="242"/>
      <c r="L353" s="242"/>
      <c r="M353" s="242"/>
      <c r="N353" s="242"/>
    </row>
    <row r="354" s="23" customFormat="1" ht="15" customHeight="1" outlineLevel="1">
      <c r="B354" s="241" t="s">
        <v>274</v>
      </c>
      <c r="C354" s="12"/>
      <c r="D354" s="14"/>
      <c r="E354" s="14"/>
      <c r="F354" s="14"/>
      <c r="G354" s="14"/>
      <c r="H354" s="242"/>
      <c r="I354" s="242"/>
      <c r="J354" s="242"/>
      <c r="K354" s="242"/>
      <c r="L354" s="242"/>
      <c r="M354" s="242"/>
      <c r="N354" s="242"/>
    </row>
    <row r="355" s="23" customFormat="1" ht="15" customHeight="1" outlineLevel="1">
      <c r="B355" s="284" t="s">
        <v>236</v>
      </c>
      <c r="C355" s="12"/>
      <c r="D355" s="14"/>
      <c r="E355" s="14"/>
      <c r="F355" s="14"/>
      <c r="G355" s="14"/>
      <c r="H355" s="242"/>
      <c r="I355" s="465">
        <f t="shared" ref="I355:M355" si="179">H358</f>
        <v>24128</v>
      </c>
      <c r="J355" s="465">
        <f t="shared" si="179"/>
        <v>11549.505061499998</v>
      </c>
      <c r="K355" s="465">
        <f t="shared" si="179"/>
        <v>0</v>
      </c>
      <c r="L355" s="465">
        <f t="shared" si="179"/>
        <v>0</v>
      </c>
      <c r="M355" s="465">
        <f t="shared" si="179"/>
        <v>0</v>
      </c>
      <c r="N355" s="465"/>
    </row>
    <row r="356" s="23" customFormat="1" ht="15" customHeight="1" outlineLevel="1">
      <c r="A356" s="1"/>
      <c r="B356" s="284" t="s">
        <v>275</v>
      </c>
      <c r="C356" s="12"/>
      <c r="D356" s="14"/>
      <c r="E356" s="14"/>
      <c r="F356" s="14"/>
      <c r="G356" s="14"/>
      <c r="H356" s="242"/>
      <c r="I356" s="465">
        <f t="shared" ref="I356:M356" si="180">-MIN(I344,0)</f>
        <v>0</v>
      </c>
      <c r="J356" s="465">
        <f t="shared" si="180"/>
        <v>0</v>
      </c>
      <c r="K356" s="465">
        <f t="shared" si="180"/>
        <v>0</v>
      </c>
      <c r="L356" s="465">
        <f t="shared" si="180"/>
        <v>0</v>
      </c>
      <c r="M356" s="465">
        <f t="shared" si="180"/>
        <v>0</v>
      </c>
      <c r="N356" s="465"/>
      <c r="O356" s="1"/>
    </row>
    <row r="357" s="23" customFormat="1" ht="15" customHeight="1" outlineLevel="1">
      <c r="A357" s="1"/>
      <c r="B357" s="287" t="s">
        <v>276</v>
      </c>
      <c r="C357" s="12"/>
      <c r="D357" s="14"/>
      <c r="E357" s="14"/>
      <c r="F357" s="14"/>
      <c r="G357" s="14"/>
      <c r="H357" s="290"/>
      <c r="I357" s="472">
        <f t="shared" ref="I357:M357" si="181">-MIN(I355,I350)*I337</f>
        <v>-12578.494938500002</v>
      </c>
      <c r="J357" s="472">
        <f t="shared" si="181"/>
        <v>-11549.505061499998</v>
      </c>
      <c r="K357" s="472">
        <f t="shared" si="181"/>
        <v>0</v>
      </c>
      <c r="L357" s="472">
        <f t="shared" si="181"/>
        <v>0</v>
      </c>
      <c r="M357" s="472">
        <f t="shared" si="181"/>
        <v>0</v>
      </c>
      <c r="N357" s="472"/>
      <c r="O357" s="1"/>
    </row>
    <row r="358" s="23" customFormat="1" ht="15" customHeight="1" outlineLevel="1">
      <c r="A358" s="1"/>
      <c r="B358" s="284" t="s">
        <v>238</v>
      </c>
      <c r="C358" s="12"/>
      <c r="E358" s="14"/>
      <c r="F358" s="14"/>
      <c r="G358" s="14"/>
      <c r="H358" s="465">
        <f>Inputs!$L$105</f>
        <v>24128</v>
      </c>
      <c r="I358" s="465">
        <f t="shared" ref="I358:M358" si="182">SUM(I355:I357)</f>
        <v>11549.505061499998</v>
      </c>
      <c r="J358" s="465">
        <f t="shared" si="182"/>
        <v>0</v>
      </c>
      <c r="K358" s="465">
        <f t="shared" si="182"/>
        <v>0</v>
      </c>
      <c r="L358" s="465">
        <f t="shared" si="182"/>
        <v>0</v>
      </c>
      <c r="M358" s="465">
        <f t="shared" si="182"/>
        <v>0</v>
      </c>
      <c r="N358" s="465"/>
      <c r="O358" s="1"/>
    </row>
    <row r="359" s="23" customFormat="1" ht="15" customHeight="1" outlineLevel="1">
      <c r="B359" s="11"/>
      <c r="C359" s="12"/>
      <c r="D359" s="14"/>
      <c r="E359" s="14"/>
      <c r="F359" s="14"/>
      <c r="G359" s="14"/>
      <c r="H359" s="242"/>
      <c r="I359" s="242"/>
      <c r="J359" s="242"/>
      <c r="K359" s="242"/>
      <c r="L359" s="242"/>
      <c r="M359" s="242"/>
      <c r="N359" s="242"/>
    </row>
    <row r="360" s="23" customFormat="1" ht="15" customHeight="1" outlineLevel="1">
      <c r="B360" s="500"/>
      <c r="C360" s="564"/>
      <c r="D360" s="501"/>
      <c r="E360" s="501"/>
      <c r="F360" s="501"/>
      <c r="G360" s="501"/>
      <c r="H360" s="290"/>
      <c r="I360" s="290"/>
      <c r="J360" s="290"/>
      <c r="K360" s="290"/>
      <c r="L360" s="290"/>
      <c r="M360" s="290"/>
      <c r="N360" s="242"/>
    </row>
    <row r="361" ht="15" customHeight="1" outlineLevel="1">
      <c r="A361" s="23"/>
      <c r="B361" s="11"/>
      <c r="C361" s="12"/>
      <c r="D361" s="14"/>
      <c r="E361" s="14"/>
      <c r="F361" s="14"/>
      <c r="G361" s="14"/>
      <c r="H361" s="242"/>
      <c r="I361" s="242"/>
      <c r="J361" s="242"/>
      <c r="K361" s="242"/>
      <c r="L361" s="242"/>
      <c r="M361" s="242"/>
      <c r="N361" s="242"/>
      <c r="O361" s="23"/>
    </row>
    <row r="362" ht="15" customHeight="1" outlineLevel="1">
      <c r="A362" s="23"/>
      <c r="B362" s="61" t="s">
        <v>277</v>
      </c>
      <c r="C362" s="12"/>
      <c r="D362" s="14"/>
      <c r="E362" s="14"/>
      <c r="F362" s="14"/>
      <c r="G362" s="14"/>
      <c r="H362" s="242"/>
      <c r="I362" s="242"/>
      <c r="J362" s="242"/>
      <c r="K362" s="242"/>
      <c r="L362" s="242"/>
      <c r="M362" s="242"/>
      <c r="N362" s="242"/>
      <c r="O362" s="23"/>
    </row>
    <row r="363" ht="15" customHeight="1" outlineLevel="1">
      <c r="A363" s="23"/>
      <c r="B363" s="284" t="s">
        <v>278</v>
      </c>
      <c r="C363" s="12"/>
      <c r="D363" s="14"/>
      <c r="E363" s="14"/>
      <c r="F363" s="289"/>
      <c r="G363" s="289"/>
      <c r="H363" s="30"/>
      <c r="I363" s="465">
        <f t="shared" ref="I363:M363" si="183">$D$339*I352</f>
        <v>0</v>
      </c>
      <c r="J363" s="465">
        <f t="shared" si="183"/>
        <v>233.41219196297834</v>
      </c>
      <c r="K363" s="465">
        <f t="shared" si="183"/>
        <v>3125.0759343838781</v>
      </c>
      <c r="L363" s="465">
        <f t="shared" si="183"/>
        <v>3159.6575784935785</v>
      </c>
      <c r="M363" s="465">
        <f t="shared" si="183"/>
        <v>3280.7926047701635</v>
      </c>
      <c r="N363" s="465"/>
      <c r="O363" s="23"/>
    </row>
    <row r="364" ht="15" customHeight="1" outlineLevel="1">
      <c r="A364" s="23"/>
      <c r="B364" s="284" t="s">
        <v>178</v>
      </c>
      <c r="C364" s="12"/>
      <c r="D364" s="14"/>
      <c r="E364" s="14"/>
      <c r="F364" s="14"/>
      <c r="G364" s="14"/>
      <c r="H364" s="242"/>
      <c r="I364" s="465">
        <f t="shared" ref="I364:M364" si="184">I365-I363</f>
        <v>3561.8018596249999</v>
      </c>
      <c r="J364" s="465">
        <f t="shared" si="184"/>
        <v>3280.8675153749996</v>
      </c>
      <c r="K364" s="465">
        <f t="shared" si="184"/>
        <v>343.98240625000017</v>
      </c>
      <c r="L364" s="465">
        <f t="shared" si="184"/>
        <v>248.46238906249982</v>
      </c>
      <c r="M364" s="465">
        <f t="shared" si="184"/>
        <v>104.14537445312453</v>
      </c>
      <c r="N364" s="465"/>
      <c r="O364" s="23"/>
    </row>
    <row r="365" ht="15" customHeight="1" outlineLevel="1">
      <c r="A365" s="23"/>
      <c r="B365" s="284" t="s">
        <v>279</v>
      </c>
      <c r="C365" s="12"/>
      <c r="D365" s="426" t="str">
        <f>'Model-R'!S271</f>
        <v>COMPLETE</v>
      </c>
      <c r="E365" s="14"/>
      <c r="F365" s="14"/>
      <c r="G365" s="14"/>
      <c r="H365" s="242"/>
      <c r="I365" s="534">
        <f>MAX($D$339*I344,0)</f>
        <v>3561.8018596249999</v>
      </c>
      <c r="J365" s="534">
        <f t="shared" ref="J365:M365" si="185">MAX($D$339*J344,0)</f>
        <v>3514.2797073379779</v>
      </c>
      <c r="K365" s="534">
        <f t="shared" si="185"/>
        <v>3469.0583406338783</v>
      </c>
      <c r="L365" s="534">
        <f t="shared" si="185"/>
        <v>3408.1199675560783</v>
      </c>
      <c r="M365" s="534">
        <f t="shared" si="185"/>
        <v>3384.937979223288</v>
      </c>
      <c r="N365" s="534"/>
      <c r="O365" s="23"/>
    </row>
    <row r="366" ht="15" customHeight="1" outlineLevel="1">
      <c r="A366" s="23"/>
      <c r="B366" s="11"/>
      <c r="C366" s="12"/>
      <c r="D366" s="14"/>
      <c r="E366" s="14"/>
      <c r="F366" s="14"/>
      <c r="G366" s="14"/>
      <c r="H366" s="14"/>
      <c r="I366" s="16"/>
      <c r="J366" s="16"/>
      <c r="K366" s="16"/>
      <c r="L366" s="16"/>
      <c r="M366" s="16"/>
      <c r="N366" s="23"/>
      <c r="O366" s="23"/>
    </row>
    <row r="367" ht="15" customHeight="1" outlineLevel="1">
      <c r="B367" s="414"/>
      <c r="C367" s="414"/>
      <c r="D367" s="67"/>
      <c r="E367" s="67"/>
      <c r="F367" s="438"/>
      <c r="G367" s="438"/>
      <c r="H367" s="438"/>
      <c r="I367" s="565"/>
      <c r="J367" s="565"/>
      <c r="K367" s="565"/>
      <c r="L367" s="565"/>
      <c r="M367" s="565"/>
      <c r="N367" s="565"/>
    </row>
    <row r="368" ht="15" customHeight="1" outlineLevel="1">
      <c r="B368" s="23"/>
      <c r="C368" s="12"/>
      <c r="D368" s="14"/>
      <c r="E368" s="14"/>
      <c r="F368" s="14"/>
      <c r="G368" s="14"/>
      <c r="H368" s="14"/>
      <c r="I368" s="16"/>
      <c r="J368" s="16"/>
      <c r="K368" s="16"/>
      <c r="L368" s="16"/>
      <c r="M368" s="132" t="s">
        <v>280</v>
      </c>
      <c r="N368" s="23"/>
    </row>
    <row r="369" ht="15" customHeight="1" outlineLevel="1">
      <c r="B369" s="23"/>
      <c r="C369" s="12"/>
      <c r="D369" s="14"/>
      <c r="E369" s="14"/>
      <c r="F369" s="14"/>
      <c r="G369" s="14"/>
      <c r="H369" s="14"/>
      <c r="I369" s="16"/>
      <c r="J369" s="16"/>
      <c r="K369" s="16"/>
      <c r="L369" s="16"/>
      <c r="M369" s="535" t="s">
        <v>281</v>
      </c>
      <c r="N369" s="23"/>
    </row>
    <row r="370" ht="15" customHeight="1" outlineLevel="1">
      <c r="B370" s="23"/>
      <c r="C370" s="12"/>
      <c r="D370" s="14"/>
      <c r="E370" s="14"/>
      <c r="F370" s="14"/>
      <c r="G370" s="14"/>
      <c r="H370" s="14"/>
      <c r="I370" s="16"/>
      <c r="J370" s="16"/>
      <c r="K370" s="16"/>
      <c r="L370" s="16"/>
      <c r="M370" s="566"/>
      <c r="N370" s="23"/>
    </row>
    <row r="371" ht="15" customHeight="1" outlineLevel="1">
      <c r="B371" s="500"/>
      <c r="C371" s="281"/>
      <c r="D371" s="501"/>
      <c r="E371" s="501"/>
      <c r="F371" s="501"/>
      <c r="G371" s="501"/>
      <c r="H371" s="501"/>
      <c r="I371" s="502"/>
      <c r="J371" s="502"/>
      <c r="K371" s="502"/>
      <c r="L371" s="502"/>
      <c r="M371" s="502"/>
      <c r="N371" s="502"/>
    </row>
    <row r="372" s="23" customFormat="1" ht="15" customHeight="1" outlineLevel="1">
      <c r="A372" s="1"/>
      <c r="B372" s="11"/>
      <c r="C372" s="12"/>
      <c r="D372" s="14"/>
      <c r="E372" s="14"/>
      <c r="F372" s="14"/>
      <c r="G372" s="14"/>
      <c r="H372" s="14"/>
      <c r="I372" s="16"/>
      <c r="J372" s="16"/>
      <c r="K372" s="16"/>
      <c r="L372" s="16"/>
      <c r="M372" s="16"/>
      <c r="N372" s="16"/>
      <c r="O372" s="1"/>
    </row>
    <row r="373" s="23" customFormat="1" ht="15" customHeight="1" outlineLevel="1">
      <c r="B373" s="6" t="s">
        <v>282</v>
      </c>
      <c r="C373" s="7"/>
      <c r="D373" s="459"/>
      <c r="E373" s="459"/>
      <c r="F373" s="9"/>
      <c r="G373" s="9"/>
      <c r="H373" s="9"/>
      <c r="I373" s="460"/>
      <c r="J373" s="461"/>
      <c r="K373" s="461"/>
      <c r="L373" s="461"/>
      <c r="M373" s="461"/>
      <c r="N373" s="401"/>
      <c r="O373" s="59"/>
    </row>
    <row r="374" ht="15" customHeight="1">
      <c r="A374" s="23"/>
      <c r="B374" s="176"/>
      <c r="C374" s="12"/>
      <c r="D374" s="13"/>
      <c r="E374" s="13"/>
      <c r="F374" s="10"/>
      <c r="G374" s="10"/>
      <c r="H374" s="10"/>
      <c r="I374" s="10"/>
      <c r="J374" s="10"/>
      <c r="K374" s="10"/>
      <c r="L374" s="10"/>
      <c r="M374" s="10"/>
      <c r="N374" s="23"/>
      <c r="O374" s="59"/>
    </row>
    <row r="375" ht="15" customHeight="1">
      <c r="B375" s="11" t="s">
        <v>3</v>
      </c>
      <c r="C375" s="12"/>
      <c r="D375" s="14"/>
      <c r="E375" s="14"/>
      <c r="F375" s="388">
        <f t="shared" si="169"/>
        <v>2020</v>
      </c>
      <c r="G375" s="388">
        <f t="shared" si="169"/>
        <v>2021</v>
      </c>
      <c r="H375" s="388">
        <f t="shared" si="169"/>
        <v>2022</v>
      </c>
      <c r="I375" s="389">
        <f t="shared" si="169"/>
        <v>2023</v>
      </c>
      <c r="J375" s="389">
        <f t="shared" si="169"/>
        <v>2024</v>
      </c>
      <c r="K375" s="389">
        <f t="shared" si="169"/>
        <v>2025</v>
      </c>
      <c r="L375" s="389">
        <f t="shared" si="169"/>
        <v>2026</v>
      </c>
      <c r="M375" s="389">
        <f t="shared" si="169"/>
        <v>2027</v>
      </c>
      <c r="N375" s="177"/>
    </row>
    <row r="376" ht="15" customHeight="1">
      <c r="A376" s="4"/>
      <c r="B376" s="11" t="str">
        <f>$B$4</f>
        <v xml:space="preserve">Model Running: Base Case Drivers</v>
      </c>
      <c r="C376" s="12"/>
      <c r="D376" s="14"/>
      <c r="E376" s="14"/>
      <c r="F376" s="14"/>
      <c r="G376" s="14"/>
      <c r="H376" s="14"/>
      <c r="I376" s="16"/>
      <c r="J376" s="16"/>
      <c r="K376" s="16"/>
      <c r="L376" s="16"/>
      <c r="M376" s="16"/>
      <c r="N376" s="16"/>
      <c r="O376" s="59"/>
    </row>
    <row r="377" ht="15" customHeight="1">
      <c r="A377" s="23"/>
      <c r="B377" s="11"/>
      <c r="C377" s="12"/>
      <c r="D377" s="14"/>
      <c r="E377" s="14"/>
      <c r="F377" s="14"/>
      <c r="G377" s="14"/>
      <c r="H377" s="14"/>
      <c r="I377" s="16"/>
      <c r="J377" s="16"/>
      <c r="K377" s="16"/>
      <c r="L377" s="16"/>
      <c r="M377" s="16"/>
      <c r="N377" s="23"/>
      <c r="O377" s="23"/>
    </row>
    <row r="378" ht="15" customHeight="1">
      <c r="A378" s="23" t="s">
        <v>0</v>
      </c>
      <c r="B378" s="73" t="s">
        <v>283</v>
      </c>
      <c r="C378" s="12"/>
      <c r="D378" s="14"/>
      <c r="E378" s="14"/>
      <c r="F378" s="289"/>
      <c r="G378" s="289"/>
      <c r="H378" s="30"/>
      <c r="I378" s="462">
        <f t="shared" ref="I378:M378" si="186">I30</f>
        <v>15273.107447499999</v>
      </c>
      <c r="J378" s="463">
        <f t="shared" si="186"/>
        <v>14876.452040925004</v>
      </c>
      <c r="K378" s="463">
        <f t="shared" si="186"/>
        <v>14495.322237052755</v>
      </c>
      <c r="L378" s="463">
        <f t="shared" si="186"/>
        <v>14077.546010577073</v>
      </c>
      <c r="M378" s="391">
        <f t="shared" si="186"/>
        <v>13749.433762640969</v>
      </c>
      <c r="N378" s="391"/>
      <c r="O378" s="23"/>
    </row>
    <row r="379" ht="15" customHeight="1">
      <c r="A379" s="23"/>
      <c r="B379" s="73" t="s">
        <v>265</v>
      </c>
      <c r="C379" s="12"/>
      <c r="D379" s="14"/>
      <c r="E379" s="14"/>
      <c r="F379" s="14"/>
      <c r="G379" s="14"/>
      <c r="H379" s="14"/>
      <c r="I379" s="555">
        <f t="shared" ref="I379:M379" si="187">IF(I389&gt;0,1,0)</f>
        <v>1</v>
      </c>
      <c r="J379" s="556">
        <f t="shared" si="187"/>
        <v>1</v>
      </c>
      <c r="K379" s="556">
        <f t="shared" si="187"/>
        <v>1</v>
      </c>
      <c r="L379" s="556">
        <f t="shared" si="187"/>
        <v>1</v>
      </c>
      <c r="M379" s="557">
        <f t="shared" si="187"/>
        <v>1</v>
      </c>
      <c r="N379" s="557"/>
      <c r="O379" s="477"/>
    </row>
    <row r="380" ht="15" customHeight="1">
      <c r="A380" s="23"/>
      <c r="B380" s="11"/>
      <c r="C380" s="12"/>
      <c r="D380" s="14"/>
      <c r="E380" s="14"/>
      <c r="F380" s="14"/>
      <c r="G380" s="14"/>
      <c r="H380" s="14"/>
      <c r="I380" s="16"/>
      <c r="J380" s="16"/>
      <c r="K380" s="16"/>
      <c r="L380" s="16"/>
      <c r="M380" s="16"/>
      <c r="N380" s="16"/>
      <c r="O380" s="23"/>
    </row>
    <row r="381" ht="15" customHeight="1">
      <c r="A381" s="23"/>
      <c r="B381" s="390" t="s">
        <v>101</v>
      </c>
      <c r="C381" s="558"/>
      <c r="D381" s="559">
        <f>$C$17</f>
        <v>0.25</v>
      </c>
      <c r="E381" s="14"/>
      <c r="F381" s="14"/>
      <c r="G381" s="14"/>
      <c r="H381" s="14"/>
      <c r="I381" s="16"/>
      <c r="J381" s="16"/>
      <c r="K381" s="16"/>
      <c r="L381" s="16"/>
      <c r="M381" s="16"/>
      <c r="N381" s="16"/>
      <c r="O381" s="567"/>
    </row>
    <row r="382" ht="15" customHeight="1">
      <c r="A382" s="23"/>
      <c r="B382" s="560" t="s">
        <v>266</v>
      </c>
      <c r="C382" s="281"/>
      <c r="D382" s="561">
        <f>IF(M400=0,0,1)</f>
        <v>0</v>
      </c>
      <c r="E382" s="14"/>
      <c r="F382" s="30"/>
      <c r="G382" s="30"/>
      <c r="H382" s="30"/>
      <c r="I382" s="30"/>
      <c r="J382" s="30"/>
      <c r="K382" s="30"/>
      <c r="L382" s="30"/>
      <c r="O382" s="567"/>
    </row>
    <row r="383" ht="15" customHeight="1">
      <c r="A383" s="23"/>
      <c r="B383" s="11"/>
      <c r="C383" s="12"/>
      <c r="D383" s="563"/>
      <c r="E383" s="14"/>
      <c r="F383" s="14"/>
      <c r="G383" s="14"/>
      <c r="H383" s="14"/>
      <c r="I383" s="16"/>
      <c r="J383" s="16"/>
      <c r="K383" s="16"/>
      <c r="L383" s="16"/>
      <c r="M383" s="16"/>
      <c r="N383" s="16"/>
      <c r="O383" s="567"/>
    </row>
    <row r="384" ht="15" customHeight="1">
      <c r="A384" s="23"/>
      <c r="B384" s="11"/>
      <c r="C384" s="12"/>
      <c r="D384" s="563"/>
      <c r="E384" s="14"/>
      <c r="F384" s="14"/>
      <c r="G384" s="14"/>
      <c r="H384" s="14"/>
      <c r="I384" s="16"/>
      <c r="J384" s="16"/>
      <c r="K384" s="16"/>
      <c r="L384" s="16"/>
      <c r="M384" s="16"/>
      <c r="N384" s="16"/>
      <c r="O384" s="567"/>
    </row>
    <row r="385" ht="15" customHeight="1">
      <c r="A385" s="23"/>
      <c r="B385" s="61" t="s">
        <v>267</v>
      </c>
      <c r="C385" s="12"/>
      <c r="D385" s="14"/>
      <c r="E385" s="14"/>
      <c r="F385" s="14"/>
      <c r="G385" s="14"/>
      <c r="H385" s="242"/>
      <c r="I385" s="242"/>
      <c r="J385" s="242"/>
      <c r="K385" s="242"/>
      <c r="L385" s="242"/>
      <c r="M385" s="242"/>
      <c r="N385" s="242"/>
      <c r="O385" s="477"/>
    </row>
    <row r="386" ht="15" customHeight="1">
      <c r="A386" s="23"/>
      <c r="B386" s="284" t="s">
        <v>168</v>
      </c>
      <c r="C386" s="12"/>
      <c r="D386" s="14"/>
      <c r="E386" s="14"/>
      <c r="F386" s="289"/>
      <c r="G386" s="289"/>
      <c r="H386" s="30"/>
      <c r="I386" s="465">
        <f t="shared" ref="I386:M386" si="188">I378</f>
        <v>15273.107447499999</v>
      </c>
      <c r="J386" s="465">
        <f t="shared" si="188"/>
        <v>14876.452040925004</v>
      </c>
      <c r="K386" s="465">
        <f t="shared" si="188"/>
        <v>14495.322237052755</v>
      </c>
      <c r="L386" s="465">
        <f t="shared" si="188"/>
        <v>14077.546010577073</v>
      </c>
      <c r="M386" s="465">
        <f t="shared" si="188"/>
        <v>13749.433762640969</v>
      </c>
      <c r="N386" s="465"/>
      <c r="O386" s="477"/>
    </row>
    <row r="387" ht="15" customHeight="1">
      <c r="A387" s="23"/>
      <c r="B387" s="284" t="s">
        <v>268</v>
      </c>
      <c r="C387" s="12"/>
      <c r="D387" s="14"/>
      <c r="E387" s="14"/>
      <c r="F387" s="14"/>
      <c r="G387" s="14"/>
      <c r="H387" s="242"/>
      <c r="I387" s="465">
        <f t="shared" ref="I387:I388" si="189">I345</f>
        <v>4962.9375</v>
      </c>
      <c r="J387" s="465">
        <f t="shared" ref="J387:M388" si="190">J345</f>
        <v>5412.9375</v>
      </c>
      <c r="K387" s="465">
        <f t="shared" si="190"/>
        <v>5837.9375</v>
      </c>
      <c r="L387" s="465">
        <f t="shared" si="190"/>
        <v>6187.9375</v>
      </c>
      <c r="M387" s="465">
        <f t="shared" si="190"/>
        <v>6437.9375</v>
      </c>
      <c r="N387" s="465"/>
      <c r="O387" s="438"/>
    </row>
    <row r="388" ht="15" customHeight="1">
      <c r="A388" s="23"/>
      <c r="B388" s="284" t="s">
        <v>269</v>
      </c>
      <c r="C388" s="12"/>
      <c r="D388" s="14"/>
      <c r="E388" s="14"/>
      <c r="F388" s="14"/>
      <c r="G388" s="14"/>
      <c r="H388" s="242"/>
      <c r="I388" s="472">
        <f t="shared" si="189"/>
        <v>-6631.6499999999996</v>
      </c>
      <c r="J388" s="472">
        <f t="shared" si="190"/>
        <v>-6986.9024999999992</v>
      </c>
      <c r="K388" s="472">
        <f t="shared" si="190"/>
        <v>-7213.8671249999998</v>
      </c>
      <c r="L388" s="472">
        <f t="shared" si="190"/>
        <v>-7181.7870562500002</v>
      </c>
      <c r="M388" s="472">
        <f t="shared" si="190"/>
        <v>-6854.5189978124999</v>
      </c>
      <c r="N388" s="472"/>
      <c r="O388" s="23"/>
    </row>
    <row r="389" ht="15" customHeight="1">
      <c r="A389" s="23"/>
      <c r="B389" s="284" t="s">
        <v>284</v>
      </c>
      <c r="C389" s="12"/>
      <c r="D389" s="14"/>
      <c r="E389" s="14"/>
      <c r="F389" s="289"/>
      <c r="G389" s="289"/>
      <c r="H389" s="30"/>
      <c r="I389" s="465">
        <f t="shared" ref="I389:M389" si="191">SUM(I386:I388)</f>
        <v>13604.394947499999</v>
      </c>
      <c r="J389" s="465">
        <f t="shared" si="191"/>
        <v>13302.487040925003</v>
      </c>
      <c r="K389" s="465">
        <f t="shared" si="191"/>
        <v>13119.392612052754</v>
      </c>
      <c r="L389" s="465">
        <f t="shared" si="191"/>
        <v>13083.696454327073</v>
      </c>
      <c r="M389" s="465">
        <f t="shared" si="191"/>
        <v>13332.852264828469</v>
      </c>
      <c r="N389" s="465"/>
      <c r="O389" s="23"/>
    </row>
    <row r="390" ht="15" customHeight="1">
      <c r="A390" s="23"/>
      <c r="B390" s="11"/>
      <c r="C390" s="12"/>
      <c r="D390" s="14"/>
      <c r="E390" s="14"/>
      <c r="F390" s="14"/>
      <c r="G390" s="14"/>
      <c r="H390" s="242"/>
      <c r="I390" s="30"/>
      <c r="J390" s="30"/>
      <c r="K390" s="30"/>
      <c r="L390" s="30"/>
      <c r="M390" s="30"/>
      <c r="N390" s="30"/>
      <c r="O390" s="438"/>
    </row>
    <row r="391" ht="15" customHeight="1">
      <c r="A391" s="23"/>
      <c r="B391" s="241" t="s">
        <v>271</v>
      </c>
      <c r="C391" s="12"/>
      <c r="D391" s="14"/>
      <c r="E391" s="14"/>
      <c r="F391" s="14"/>
      <c r="G391" s="14"/>
      <c r="H391" s="242"/>
      <c r="I391" s="30"/>
      <c r="J391" s="30"/>
      <c r="K391" s="30"/>
      <c r="L391" s="30"/>
      <c r="M391" s="30"/>
      <c r="N391" s="30"/>
      <c r="O391" s="438"/>
    </row>
    <row r="392" ht="15" customHeight="1">
      <c r="A392" s="23"/>
      <c r="B392" s="284" t="s">
        <v>284</v>
      </c>
      <c r="C392" s="12"/>
      <c r="D392" s="14"/>
      <c r="E392" s="14"/>
      <c r="F392" s="289"/>
      <c r="G392" s="289"/>
      <c r="H392" s="30"/>
      <c r="I392" s="465">
        <f t="shared" ref="I392:M392" si="192">I389</f>
        <v>13604.394947499999</v>
      </c>
      <c r="J392" s="465">
        <f t="shared" si="192"/>
        <v>13302.487040925003</v>
      </c>
      <c r="K392" s="465">
        <f t="shared" si="192"/>
        <v>13119.392612052754</v>
      </c>
      <c r="L392" s="465">
        <f t="shared" si="192"/>
        <v>13083.696454327073</v>
      </c>
      <c r="M392" s="465">
        <f t="shared" si="192"/>
        <v>13332.852264828469</v>
      </c>
      <c r="N392" s="465"/>
      <c r="O392" s="438"/>
    </row>
    <row r="393" ht="15" customHeight="1">
      <c r="A393" s="23"/>
      <c r="B393" s="287" t="s">
        <v>272</v>
      </c>
      <c r="C393" s="12"/>
      <c r="D393" s="14"/>
      <c r="E393" s="14"/>
      <c r="F393" s="14"/>
      <c r="G393" s="14"/>
      <c r="H393" s="242"/>
      <c r="I393" s="472">
        <f t="shared" ref="I393:M393" si="193">I399</f>
        <v>-13604.394947499999</v>
      </c>
      <c r="J393" s="472">
        <f t="shared" si="193"/>
        <v>-10523.605052500001</v>
      </c>
      <c r="K393" s="472">
        <f t="shared" si="193"/>
        <v>0</v>
      </c>
      <c r="L393" s="472">
        <f t="shared" si="193"/>
        <v>0</v>
      </c>
      <c r="M393" s="472">
        <f t="shared" si="193"/>
        <v>0</v>
      </c>
      <c r="N393" s="472"/>
      <c r="O393" s="438"/>
    </row>
    <row r="394" ht="15" customHeight="1">
      <c r="A394" s="23"/>
      <c r="B394" s="284" t="s">
        <v>273</v>
      </c>
      <c r="C394" s="12"/>
      <c r="D394" s="14"/>
      <c r="E394" s="14"/>
      <c r="F394" s="14"/>
      <c r="G394" s="14"/>
      <c r="H394" s="242"/>
      <c r="I394" s="465">
        <f t="shared" ref="I394:M394" si="194">MAX(SUM(I392:I393),0)</f>
        <v>0</v>
      </c>
      <c r="J394" s="465">
        <f t="shared" si="194"/>
        <v>2778.8819884250024</v>
      </c>
      <c r="K394" s="465">
        <f t="shared" si="194"/>
        <v>13119.392612052754</v>
      </c>
      <c r="L394" s="465">
        <f t="shared" si="194"/>
        <v>13083.696454327073</v>
      </c>
      <c r="M394" s="465">
        <f t="shared" si="194"/>
        <v>13332.852264828469</v>
      </c>
      <c r="N394" s="465"/>
      <c r="O394" s="438"/>
    </row>
    <row r="395" ht="15" customHeight="1">
      <c r="A395" s="23"/>
      <c r="B395" s="11"/>
      <c r="C395" s="12"/>
      <c r="D395" s="14"/>
      <c r="E395" s="14"/>
      <c r="F395" s="14"/>
      <c r="G395" s="14"/>
      <c r="H395" s="242"/>
      <c r="I395" s="242"/>
      <c r="J395" s="242"/>
      <c r="K395" s="242"/>
      <c r="L395" s="242"/>
      <c r="M395" s="242"/>
      <c r="N395" s="242"/>
      <c r="O395" s="438"/>
    </row>
    <row r="396" ht="15" customHeight="1">
      <c r="A396" s="23"/>
      <c r="B396" s="61" t="s">
        <v>274</v>
      </c>
      <c r="C396" s="12"/>
      <c r="D396" s="14"/>
      <c r="E396" s="14"/>
      <c r="F396" s="14"/>
      <c r="G396" s="14"/>
      <c r="H396" s="242"/>
      <c r="I396" s="242"/>
      <c r="J396" s="242"/>
      <c r="K396" s="242"/>
      <c r="L396" s="242"/>
      <c r="M396" s="242"/>
      <c r="N396" s="242"/>
      <c r="O396" s="438"/>
    </row>
    <row r="397" ht="15" customHeight="1">
      <c r="A397" s="23"/>
      <c r="B397" s="284" t="s">
        <v>236</v>
      </c>
      <c r="C397" s="12"/>
      <c r="D397" s="14"/>
      <c r="E397" s="14"/>
      <c r="F397" s="14"/>
      <c r="G397" s="14"/>
      <c r="H397" s="242"/>
      <c r="I397" s="465">
        <f t="shared" ref="I397:M397" si="195">H400</f>
        <v>24128</v>
      </c>
      <c r="J397" s="465">
        <f t="shared" si="195"/>
        <v>10523.605052500001</v>
      </c>
      <c r="K397" s="465">
        <f t="shared" si="195"/>
        <v>0</v>
      </c>
      <c r="L397" s="465">
        <f t="shared" si="195"/>
        <v>0</v>
      </c>
      <c r="M397" s="465">
        <f t="shared" si="195"/>
        <v>0</v>
      </c>
      <c r="N397" s="465"/>
      <c r="O397" s="438"/>
    </row>
    <row r="398" ht="15" customHeight="1">
      <c r="A398" s="23"/>
      <c r="B398" s="284" t="s">
        <v>275</v>
      </c>
      <c r="C398" s="12"/>
      <c r="D398" s="14"/>
      <c r="E398" s="14"/>
      <c r="F398" s="14"/>
      <c r="G398" s="14"/>
      <c r="H398" s="242"/>
      <c r="I398" s="465">
        <f t="shared" ref="I398:M398" si="196">-MIN(I386,0)</f>
        <v>0</v>
      </c>
      <c r="J398" s="465">
        <f t="shared" si="196"/>
        <v>0</v>
      </c>
      <c r="K398" s="465">
        <f t="shared" si="196"/>
        <v>0</v>
      </c>
      <c r="L398" s="465">
        <f t="shared" si="196"/>
        <v>0</v>
      </c>
      <c r="M398" s="465">
        <f t="shared" si="196"/>
        <v>0</v>
      </c>
      <c r="N398" s="465"/>
      <c r="O398" s="438"/>
    </row>
    <row r="399" ht="15" customHeight="1">
      <c r="A399" s="23"/>
      <c r="B399" s="284" t="s">
        <v>276</v>
      </c>
      <c r="C399" s="12"/>
      <c r="D399" s="14"/>
      <c r="E399" s="14"/>
      <c r="F399" s="14"/>
      <c r="G399" s="14"/>
      <c r="H399" s="290"/>
      <c r="I399" s="472">
        <f t="shared" ref="I399:M399" si="197">-MIN(I397,I392)*I379</f>
        <v>-13604.394947499999</v>
      </c>
      <c r="J399" s="472">
        <f t="shared" si="197"/>
        <v>-10523.605052500001</v>
      </c>
      <c r="K399" s="472">
        <f t="shared" si="197"/>
        <v>0</v>
      </c>
      <c r="L399" s="472">
        <f t="shared" si="197"/>
        <v>0</v>
      </c>
      <c r="M399" s="472">
        <f t="shared" si="197"/>
        <v>0</v>
      </c>
      <c r="N399" s="472"/>
      <c r="O399" s="438"/>
    </row>
    <row r="400" ht="15" customHeight="1">
      <c r="A400" s="23"/>
      <c r="B400" s="284" t="s">
        <v>238</v>
      </c>
      <c r="C400" s="12"/>
      <c r="D400" s="14"/>
      <c r="E400" s="14"/>
      <c r="F400" s="14"/>
      <c r="G400" s="14"/>
      <c r="H400" s="465">
        <f>H358</f>
        <v>24128</v>
      </c>
      <c r="I400" s="465">
        <f t="shared" ref="I400:M400" si="198">SUM(I397:I399)</f>
        <v>10523.605052500001</v>
      </c>
      <c r="J400" s="465">
        <f t="shared" si="198"/>
        <v>0</v>
      </c>
      <c r="K400" s="465">
        <f t="shared" si="198"/>
        <v>0</v>
      </c>
      <c r="L400" s="465">
        <f t="shared" si="198"/>
        <v>0</v>
      </c>
      <c r="M400" s="465">
        <f t="shared" si="198"/>
        <v>0</v>
      </c>
      <c r="N400" s="465"/>
      <c r="O400" s="438"/>
    </row>
    <row r="401" ht="15" customHeight="1">
      <c r="A401" s="23"/>
      <c r="B401" s="11"/>
      <c r="C401" s="12"/>
      <c r="D401" s="14"/>
      <c r="E401" s="14"/>
      <c r="F401" s="14"/>
      <c r="G401" s="14"/>
      <c r="H401" s="242"/>
      <c r="I401" s="242"/>
      <c r="J401" s="242"/>
      <c r="K401" s="242"/>
      <c r="L401" s="242"/>
      <c r="M401" s="242"/>
      <c r="N401" s="242"/>
      <c r="O401" s="438"/>
    </row>
    <row r="402" ht="15" customHeight="1">
      <c r="A402" s="23"/>
      <c r="B402" s="500"/>
      <c r="C402" s="564"/>
      <c r="D402" s="501"/>
      <c r="E402" s="501"/>
      <c r="F402" s="501"/>
      <c r="G402" s="501"/>
      <c r="H402" s="290"/>
      <c r="I402" s="290"/>
      <c r="J402" s="290"/>
      <c r="K402" s="290"/>
      <c r="L402" s="290"/>
      <c r="M402" s="290"/>
      <c r="N402" s="290"/>
      <c r="O402" s="438"/>
    </row>
    <row r="403" ht="15" customHeight="1">
      <c r="A403" s="23"/>
      <c r="B403" s="11"/>
      <c r="C403" s="12"/>
      <c r="D403" s="14"/>
      <c r="E403" s="14"/>
      <c r="F403" s="14"/>
      <c r="G403" s="14"/>
      <c r="H403" s="242"/>
      <c r="I403" s="242"/>
      <c r="J403" s="242"/>
      <c r="K403" s="242"/>
      <c r="L403" s="242"/>
      <c r="M403" s="242"/>
      <c r="N403" s="242"/>
      <c r="O403" s="438"/>
    </row>
    <row r="404" ht="15" customHeight="1">
      <c r="A404" s="23"/>
      <c r="B404" s="61" t="s">
        <v>277</v>
      </c>
      <c r="C404" s="12"/>
      <c r="D404" s="14"/>
      <c r="E404" s="14"/>
      <c r="F404" s="14"/>
      <c r="G404" s="14"/>
      <c r="H404" s="242"/>
      <c r="I404" s="242"/>
      <c r="J404" s="242"/>
      <c r="K404" s="242"/>
      <c r="L404" s="242"/>
      <c r="M404" s="242"/>
      <c r="N404" s="242"/>
      <c r="O404" s="438"/>
    </row>
    <row r="405" ht="15" customHeight="1">
      <c r="A405" s="23"/>
      <c r="B405" s="284" t="s">
        <v>278</v>
      </c>
      <c r="C405" s="12"/>
      <c r="D405" s="14"/>
      <c r="E405" s="14"/>
      <c r="F405" s="289"/>
      <c r="G405" s="289"/>
      <c r="H405" s="30"/>
      <c r="I405" s="465">
        <f t="shared" ref="I405:M405" si="199">$D$381*I394</f>
        <v>0</v>
      </c>
      <c r="J405" s="465">
        <f t="shared" si="199"/>
        <v>694.7204971062506</v>
      </c>
      <c r="K405" s="465">
        <f t="shared" si="199"/>
        <v>3279.8481530131885</v>
      </c>
      <c r="L405" s="465">
        <f t="shared" si="199"/>
        <v>3270.9241135817683</v>
      </c>
      <c r="M405" s="465">
        <f t="shared" si="199"/>
        <v>3333.2130662071172</v>
      </c>
      <c r="N405" s="465"/>
      <c r="O405" s="438"/>
    </row>
    <row r="406" ht="15" customHeight="1">
      <c r="A406" s="23"/>
      <c r="B406" s="284" t="s">
        <v>178</v>
      </c>
      <c r="C406" s="12"/>
      <c r="D406" s="14"/>
      <c r="E406" s="14"/>
      <c r="F406" s="14"/>
      <c r="G406" s="14"/>
      <c r="H406" s="242"/>
      <c r="I406" s="465">
        <f t="shared" ref="I406:M406" si="200">I407-I405</f>
        <v>3818.2768618749997</v>
      </c>
      <c r="J406" s="465">
        <f t="shared" si="200"/>
        <v>3024.3925131250003</v>
      </c>
      <c r="K406" s="465">
        <f t="shared" si="200"/>
        <v>343.98240625000017</v>
      </c>
      <c r="L406" s="465">
        <f t="shared" si="200"/>
        <v>248.46238906249982</v>
      </c>
      <c r="M406" s="465">
        <f t="shared" si="200"/>
        <v>104.14537445312499</v>
      </c>
      <c r="N406" s="465"/>
      <c r="O406" s="438"/>
    </row>
    <row r="407" ht="15" customHeight="1">
      <c r="A407" s="23"/>
      <c r="B407" s="284" t="s">
        <v>279</v>
      </c>
      <c r="C407" s="12"/>
      <c r="D407" s="426" t="str">
        <f>'Model-R'!S313</f>
        <v>COMPLETE</v>
      </c>
      <c r="E407" s="14"/>
      <c r="F407" s="14"/>
      <c r="G407" s="14"/>
      <c r="H407" s="242"/>
      <c r="I407" s="534">
        <f t="shared" ref="I407:M407" si="201">MAX($D$381*I386,0)</f>
        <v>3818.2768618749997</v>
      </c>
      <c r="J407" s="534">
        <f t="shared" si="201"/>
        <v>3719.1130102312509</v>
      </c>
      <c r="K407" s="534">
        <f t="shared" si="201"/>
        <v>3623.8305592631887</v>
      </c>
      <c r="L407" s="534">
        <f t="shared" si="201"/>
        <v>3519.3865026442681</v>
      </c>
      <c r="M407" s="534">
        <f t="shared" si="201"/>
        <v>3437.3584406602422</v>
      </c>
      <c r="N407" s="534"/>
      <c r="O407" s="438"/>
    </row>
    <row r="408" ht="15" customHeight="1">
      <c r="B408" s="11"/>
      <c r="C408" s="12"/>
      <c r="D408" s="14"/>
      <c r="E408" s="14"/>
      <c r="F408" s="14"/>
      <c r="G408" s="14"/>
      <c r="H408" s="14"/>
      <c r="I408" s="16"/>
      <c r="J408" s="16"/>
      <c r="K408" s="16"/>
      <c r="L408" s="16"/>
      <c r="M408" s="16"/>
      <c r="N408" s="23"/>
    </row>
    <row r="409" ht="15" customHeight="1">
      <c r="B409" s="11"/>
      <c r="C409" s="12"/>
      <c r="D409" s="14"/>
      <c r="E409" s="14"/>
      <c r="F409" s="14"/>
      <c r="G409" s="14"/>
      <c r="H409" s="14"/>
      <c r="I409" s="16"/>
      <c r="J409" s="16"/>
      <c r="K409" s="16"/>
      <c r="L409" s="16"/>
      <c r="M409" s="16"/>
      <c r="N409" s="23"/>
    </row>
    <row r="410" ht="15" customHeight="1">
      <c r="B410" s="23"/>
      <c r="C410" s="12"/>
      <c r="D410" s="14"/>
      <c r="E410" s="14"/>
      <c r="F410" s="14"/>
      <c r="G410" s="14"/>
      <c r="H410" s="14"/>
      <c r="I410" s="16"/>
      <c r="J410" s="16"/>
      <c r="K410" s="16"/>
      <c r="L410" s="16"/>
      <c r="M410" s="132" t="s">
        <v>280</v>
      </c>
      <c r="N410" s="23"/>
    </row>
    <row r="411" ht="15" customHeight="1">
      <c r="B411" s="23"/>
      <c r="C411" s="12"/>
      <c r="D411" s="14"/>
      <c r="E411" s="14"/>
      <c r="F411" s="14"/>
      <c r="G411" s="14"/>
      <c r="H411" s="14"/>
      <c r="I411" s="16"/>
      <c r="J411" s="16"/>
      <c r="K411" s="16"/>
      <c r="L411" s="16"/>
      <c r="M411" s="535" t="s">
        <v>281</v>
      </c>
      <c r="N411" s="23"/>
    </row>
    <row r="412" ht="15" customHeight="1">
      <c r="B412" s="23"/>
      <c r="C412" s="12"/>
      <c r="D412" s="14"/>
      <c r="E412" s="14"/>
      <c r="F412" s="14"/>
      <c r="G412" s="14"/>
      <c r="H412" s="14"/>
      <c r="I412" s="16"/>
      <c r="J412" s="16"/>
      <c r="K412" s="16"/>
      <c r="L412" s="16"/>
      <c r="M412" s="566"/>
      <c r="N412" s="23"/>
    </row>
    <row r="413" ht="15" customHeight="1">
      <c r="B413" s="500"/>
      <c r="C413" s="281"/>
      <c r="D413" s="501"/>
      <c r="E413" s="501"/>
      <c r="F413" s="501"/>
      <c r="G413" s="501"/>
      <c r="H413" s="501"/>
      <c r="I413" s="502"/>
      <c r="J413" s="502"/>
      <c r="K413" s="502"/>
      <c r="L413" s="502"/>
      <c r="M413" s="502"/>
      <c r="N413" s="502"/>
    </row>
    <row r="414" ht="15" customHeight="1">
      <c r="B414" s="11"/>
      <c r="C414" s="12"/>
      <c r="D414" s="14"/>
      <c r="E414" s="14"/>
      <c r="F414" s="14"/>
      <c r="G414" s="14"/>
      <c r="H414" s="14"/>
      <c r="I414" s="16"/>
      <c r="J414" s="16"/>
      <c r="K414" s="16"/>
      <c r="L414" s="16"/>
      <c r="M414" s="16"/>
      <c r="N414" s="16"/>
    </row>
    <row r="415" ht="15" customHeight="1">
      <c r="B415" s="6" t="s">
        <v>285</v>
      </c>
      <c r="C415" s="7"/>
      <c r="D415" s="459"/>
      <c r="E415" s="459"/>
      <c r="F415" s="9"/>
      <c r="G415" s="9"/>
      <c r="H415" s="9"/>
      <c r="I415" s="460"/>
      <c r="J415" s="461"/>
      <c r="K415" s="461"/>
      <c r="L415" s="461"/>
      <c r="M415" s="461"/>
      <c r="N415" s="401"/>
    </row>
    <row r="416" ht="15" customHeight="1">
      <c r="B416" s="176"/>
      <c r="C416" s="12"/>
      <c r="D416" s="13"/>
      <c r="E416" s="13"/>
      <c r="F416" s="10"/>
      <c r="G416" s="10"/>
      <c r="H416" s="10"/>
      <c r="I416" s="10"/>
      <c r="J416" s="10"/>
      <c r="K416" s="10"/>
      <c r="L416" s="10"/>
      <c r="M416" s="10"/>
      <c r="N416" s="10"/>
    </row>
    <row r="417" ht="15" customHeight="1">
      <c r="B417" s="11" t="s">
        <v>3</v>
      </c>
      <c r="C417" s="12"/>
      <c r="D417" s="14"/>
      <c r="E417" s="14"/>
      <c r="F417" s="388">
        <f t="shared" ref="F397:N417" si="202">F$3</f>
        <v>2020</v>
      </c>
      <c r="G417" s="388">
        <f t="shared" si="202"/>
        <v>2021</v>
      </c>
      <c r="H417" s="388">
        <f t="shared" si="202"/>
        <v>2022</v>
      </c>
      <c r="I417" s="389">
        <f t="shared" si="202"/>
        <v>2023</v>
      </c>
      <c r="J417" s="389">
        <f t="shared" si="202"/>
        <v>2024</v>
      </c>
      <c r="K417" s="389">
        <f t="shared" si="202"/>
        <v>2025</v>
      </c>
      <c r="L417" s="389">
        <f t="shared" si="202"/>
        <v>2026</v>
      </c>
      <c r="M417" s="389">
        <f t="shared" si="202"/>
        <v>2027</v>
      </c>
      <c r="N417" s="177" t="str">
        <f t="shared" si="202"/>
        <v>Term</v>
      </c>
      <c r="O417" s="389">
        <f t="shared" ref="O417:O480" si="203">O$3</f>
        <v>0</v>
      </c>
    </row>
    <row r="418" ht="15" customHeight="1">
      <c r="B418" s="11" t="str">
        <f>$B$4</f>
        <v xml:space="preserve">Model Running: Base Case Drivers</v>
      </c>
      <c r="C418" s="12"/>
      <c r="D418" s="14"/>
      <c r="E418" s="14"/>
      <c r="F418" s="14"/>
      <c r="G418" s="14"/>
      <c r="H418" s="14"/>
      <c r="I418" s="16"/>
      <c r="J418" s="16"/>
      <c r="K418" s="16"/>
      <c r="L418" s="16"/>
      <c r="M418" s="16"/>
      <c r="N418" s="16"/>
    </row>
    <row r="419" ht="15" customHeight="1">
      <c r="B419" s="11"/>
      <c r="C419" s="12"/>
      <c r="D419" s="14"/>
      <c r="E419" s="14"/>
      <c r="F419" s="14"/>
      <c r="G419" s="14"/>
      <c r="H419" s="14"/>
      <c r="I419" s="424"/>
      <c r="J419" s="424"/>
      <c r="K419" s="424"/>
      <c r="L419" s="424"/>
      <c r="M419" s="424"/>
      <c r="N419" s="424"/>
    </row>
    <row r="420" ht="15" customHeight="1">
      <c r="B420" s="61" t="s">
        <v>286</v>
      </c>
      <c r="C420" s="12"/>
      <c r="D420" s="14"/>
      <c r="E420" s="61"/>
      <c r="F420" s="61" t="s">
        <v>287</v>
      </c>
      <c r="G420" s="242" t="s">
        <v>31</v>
      </c>
      <c r="H420" s="14"/>
      <c r="I420" s="16"/>
      <c r="J420" s="16"/>
      <c r="K420" s="16"/>
      <c r="L420" s="16"/>
      <c r="M420" s="16"/>
      <c r="N420" s="16"/>
    </row>
    <row r="421" ht="15" customHeight="1">
      <c r="A421" s="23"/>
      <c r="B421" s="284" t="s">
        <v>288</v>
      </c>
      <c r="C421" s="12"/>
      <c r="D421" s="14"/>
      <c r="E421" s="14"/>
      <c r="F421" s="390" t="s">
        <v>168</v>
      </c>
      <c r="G421" s="391">
        <f>N30</f>
        <v>13480.484043712564</v>
      </c>
      <c r="H421" s="289"/>
      <c r="I421" s="465">
        <f>I405</f>
        <v>0</v>
      </c>
      <c r="J421" s="465">
        <f t="shared" ref="J421:M421" si="204">J405</f>
        <v>694.7204971062506</v>
      </c>
      <c r="K421" s="465">
        <f t="shared" si="204"/>
        <v>3279.8481530131885</v>
      </c>
      <c r="L421" s="465">
        <f t="shared" si="204"/>
        <v>3270.9241135817683</v>
      </c>
      <c r="M421" s="465">
        <f t="shared" si="204"/>
        <v>3333.2130662071172</v>
      </c>
      <c r="N421" s="465">
        <f>G421*G423</f>
        <v>3370.121010928141</v>
      </c>
      <c r="O421" s="59"/>
    </row>
    <row r="422" ht="15" customHeight="1">
      <c r="A422" s="23"/>
      <c r="B422" s="284" t="s">
        <v>289</v>
      </c>
      <c r="C422" s="12"/>
      <c r="D422" s="14"/>
      <c r="E422" s="14"/>
      <c r="F422" s="568" t="s">
        <v>171</v>
      </c>
      <c r="G422" s="466">
        <f>N34</f>
        <v>13476.678244162806</v>
      </c>
      <c r="H422" s="289"/>
      <c r="I422" s="465">
        <f>I363</f>
        <v>0</v>
      </c>
      <c r="J422" s="465">
        <f t="shared" ref="J422:M422" si="205">J363</f>
        <v>233.41219196297834</v>
      </c>
      <c r="K422" s="465">
        <f t="shared" si="205"/>
        <v>3125.0759343838781</v>
      </c>
      <c r="L422" s="465">
        <f t="shared" si="205"/>
        <v>3159.6575784935785</v>
      </c>
      <c r="M422" s="465">
        <f t="shared" si="205"/>
        <v>3280.7926047701635</v>
      </c>
      <c r="N422" s="465">
        <f>G422*G423</f>
        <v>3369.1695610407014</v>
      </c>
      <c r="O422" s="59"/>
    </row>
    <row r="423" ht="15" customHeight="1">
      <c r="A423" s="23"/>
      <c r="B423" s="284" t="s">
        <v>290</v>
      </c>
      <c r="C423" s="13"/>
      <c r="D423" s="569"/>
      <c r="E423" s="569"/>
      <c r="F423" s="408" t="s">
        <v>101</v>
      </c>
      <c r="G423" s="505">
        <f>$C$17</f>
        <v>0.25</v>
      </c>
      <c r="H423" s="289"/>
      <c r="I423" s="463">
        <f>I421-I422</f>
        <v>0</v>
      </c>
      <c r="J423" s="463">
        <f t="shared" ref="J423:N423" si="206">J421-J422</f>
        <v>461.30830514327226</v>
      </c>
      <c r="K423" s="463">
        <f t="shared" si="206"/>
        <v>154.77221862931037</v>
      </c>
      <c r="L423" s="463">
        <f t="shared" si="206"/>
        <v>111.26653508818981</v>
      </c>
      <c r="M423" s="463">
        <f t="shared" si="206"/>
        <v>52.420461436953701</v>
      </c>
      <c r="N423" s="463">
        <f t="shared" si="206"/>
        <v>0.95144988743959402</v>
      </c>
      <c r="O423" s="23"/>
    </row>
    <row r="424" ht="15" customHeight="1">
      <c r="A424" s="23"/>
      <c r="B424" s="11"/>
      <c r="C424" s="12"/>
      <c r="D424" s="14"/>
      <c r="E424" s="14"/>
      <c r="F424" s="570"/>
      <c r="G424" s="570"/>
      <c r="H424" s="570"/>
      <c r="I424" s="476"/>
      <c r="J424" s="476"/>
      <c r="K424" s="476"/>
      <c r="L424" s="476"/>
      <c r="M424" s="476"/>
      <c r="N424" s="476"/>
      <c r="O424" s="23"/>
    </row>
    <row r="425" ht="15" customHeight="1">
      <c r="A425" s="23" t="s">
        <v>0</v>
      </c>
      <c r="B425" s="11"/>
      <c r="C425" s="12"/>
      <c r="D425" s="14"/>
      <c r="E425" s="14"/>
      <c r="F425" s="14"/>
      <c r="G425" s="14"/>
      <c r="H425" s="14"/>
      <c r="I425" s="16"/>
      <c r="J425" s="16"/>
      <c r="K425" s="16"/>
      <c r="L425" s="16"/>
      <c r="M425" s="16"/>
      <c r="N425" s="16"/>
      <c r="O425" s="23"/>
    </row>
    <row r="426" ht="15" customHeight="1">
      <c r="A426" s="23"/>
      <c r="B426" s="500"/>
      <c r="C426" s="281"/>
      <c r="D426" s="501"/>
      <c r="E426" s="501"/>
      <c r="F426" s="501"/>
      <c r="G426" s="501"/>
      <c r="H426" s="501"/>
      <c r="I426" s="502"/>
      <c r="J426" s="502"/>
      <c r="K426" s="502"/>
      <c r="L426" s="502"/>
      <c r="M426" s="502"/>
      <c r="N426" s="502"/>
      <c r="O426" s="23"/>
    </row>
    <row r="427" ht="15" customHeight="1">
      <c r="A427" s="23"/>
      <c r="B427" s="11"/>
      <c r="C427" s="12"/>
      <c r="D427" s="14"/>
      <c r="E427" s="14"/>
      <c r="F427" s="14"/>
      <c r="G427" s="14"/>
      <c r="H427" s="14"/>
      <c r="I427" s="16"/>
      <c r="J427" s="16"/>
      <c r="K427" s="16"/>
      <c r="L427" s="16"/>
      <c r="M427" s="16"/>
      <c r="N427" s="16"/>
      <c r="O427" s="477"/>
    </row>
    <row r="428" ht="15" customHeight="1">
      <c r="A428" s="23"/>
      <c r="B428" s="61" t="s">
        <v>291</v>
      </c>
      <c r="C428" s="23"/>
      <c r="D428" s="571"/>
      <c r="E428" s="14"/>
      <c r="F428" s="14"/>
      <c r="G428" s="14"/>
      <c r="H428" s="14"/>
      <c r="I428" s="23"/>
      <c r="J428" s="23"/>
      <c r="K428" s="23"/>
      <c r="L428" s="23"/>
      <c r="M428" s="23"/>
      <c r="N428" s="23"/>
      <c r="O428" s="567"/>
    </row>
    <row r="429" ht="15" customHeight="1">
      <c r="A429" s="23"/>
      <c r="B429" s="284" t="s">
        <v>165</v>
      </c>
      <c r="C429" s="12"/>
      <c r="D429" s="14"/>
      <c r="E429" s="14"/>
      <c r="G429" s="289"/>
      <c r="H429" s="289"/>
      <c r="I429" s="465">
        <f t="shared" ref="I429:N429" si="207">I26</f>
        <v>20236.044947499999</v>
      </c>
      <c r="J429" s="465">
        <f t="shared" si="207"/>
        <v>20289.389540925004</v>
      </c>
      <c r="K429" s="465">
        <f t="shared" si="207"/>
        <v>20333.259737052755</v>
      </c>
      <c r="L429" s="465">
        <f t="shared" si="207"/>
        <v>20265.483510577073</v>
      </c>
      <c r="M429" s="465">
        <f t="shared" si="207"/>
        <v>20187.371262640969</v>
      </c>
      <c r="N429" s="465">
        <f t="shared" si="207"/>
        <v>20193.421543712564</v>
      </c>
      <c r="O429" s="567"/>
    </row>
    <row r="430" ht="15" customHeight="1">
      <c r="A430" s="23"/>
      <c r="B430" s="284" t="s">
        <v>288</v>
      </c>
      <c r="C430" s="12"/>
      <c r="D430" s="14"/>
      <c r="E430" s="14"/>
      <c r="G430" s="289"/>
      <c r="H430" s="289"/>
      <c r="I430" s="465">
        <f>I421*-1</f>
        <v>0</v>
      </c>
      <c r="J430" s="465">
        <f t="shared" ref="J430:M430" si="208">J421*-1</f>
        <v>-694.7204971062506</v>
      </c>
      <c r="K430" s="465">
        <f t="shared" si="208"/>
        <v>-3279.8481530131885</v>
      </c>
      <c r="L430" s="465">
        <f t="shared" si="208"/>
        <v>-3270.9241135817683</v>
      </c>
      <c r="M430" s="465">
        <f t="shared" si="208"/>
        <v>-3333.2130662071172</v>
      </c>
      <c r="N430" s="465">
        <f>N421*-1</f>
        <v>-3370.121010928141</v>
      </c>
      <c r="O430" s="567"/>
    </row>
    <row r="431" ht="15" customHeight="1">
      <c r="A431" s="23"/>
      <c r="B431" s="284" t="s">
        <v>35</v>
      </c>
      <c r="C431" s="12"/>
      <c r="D431" s="14"/>
      <c r="E431" s="14"/>
      <c r="F431" s="289"/>
      <c r="G431" s="289"/>
      <c r="H431" s="289"/>
      <c r="I431" s="465">
        <f>Inputs!G24*-1</f>
        <v>-10000</v>
      </c>
      <c r="J431" s="465">
        <f>Inputs!H24*-1</f>
        <v>-8000</v>
      </c>
      <c r="K431" s="465">
        <f>Inputs!I24*-1</f>
        <v>-9000</v>
      </c>
      <c r="L431" s="465">
        <f>Inputs!J24*-1</f>
        <v>-5000</v>
      </c>
      <c r="M431" s="465">
        <f>Inputs!K24*-1</f>
        <v>-5000</v>
      </c>
      <c r="N431" s="465">
        <f>Inputs!L24*-1</f>
        <v>-6000</v>
      </c>
      <c r="O431" s="567"/>
    </row>
    <row r="432" ht="15" customHeight="1">
      <c r="A432" s="23"/>
      <c r="B432" s="284" t="s">
        <v>292</v>
      </c>
      <c r="C432" s="12"/>
      <c r="D432" s="14"/>
      <c r="E432" s="14"/>
      <c r="F432" s="289"/>
      <c r="G432" s="289"/>
      <c r="H432" s="289"/>
      <c r="I432" s="465">
        <f t="shared" ref="I432:M432" si="209">I151</f>
        <v>-416.38408003424593</v>
      </c>
      <c r="J432" s="465">
        <f t="shared" si="209"/>
        <v>-103.64260740102782</v>
      </c>
      <c r="K432" s="465">
        <f t="shared" si="209"/>
        <v>-105.38650732305814</v>
      </c>
      <c r="L432" s="465">
        <f t="shared" si="209"/>
        <v>-77.458350702958342</v>
      </c>
      <c r="M432" s="465">
        <f t="shared" si="209"/>
        <v>-78.329404783040445</v>
      </c>
      <c r="N432" s="465">
        <f>N151</f>
        <v>-54.841129448020183</v>
      </c>
      <c r="O432" s="477"/>
    </row>
    <row r="433" ht="15" customHeight="1">
      <c r="A433" s="23"/>
      <c r="B433" s="284" t="s">
        <v>293</v>
      </c>
      <c r="C433" s="13"/>
      <c r="D433" s="569"/>
      <c r="E433" s="569"/>
      <c r="F433" s="289"/>
      <c r="G433" s="289"/>
      <c r="H433" s="289"/>
      <c r="I433" s="534">
        <f>SUM(I429:I432)</f>
        <v>9819.6608674657527</v>
      </c>
      <c r="J433" s="534">
        <f t="shared" ref="J433:M433" si="210">SUM(J429:J432)</f>
        <v>11491.026436417727</v>
      </c>
      <c r="K433" s="534">
        <f t="shared" si="210"/>
        <v>7948.0250767165098</v>
      </c>
      <c r="L433" s="534">
        <f t="shared" si="210"/>
        <v>11917.101046292346</v>
      </c>
      <c r="M433" s="534">
        <f t="shared" si="210"/>
        <v>11775.828791650811</v>
      </c>
      <c r="N433" s="534">
        <f>SUM(N429:N432)</f>
        <v>10768.459403336401</v>
      </c>
      <c r="O433" s="477"/>
    </row>
    <row r="434" ht="15" customHeight="1">
      <c r="A434" s="23"/>
      <c r="O434" s="477"/>
    </row>
    <row r="435" ht="15" customHeight="1">
      <c r="A435" s="23"/>
      <c r="O435" s="23"/>
    </row>
    <row r="436" ht="15" customHeight="1">
      <c r="A436" s="23"/>
      <c r="B436" s="61" t="s">
        <v>294</v>
      </c>
      <c r="C436" s="23"/>
      <c r="D436" s="571"/>
      <c r="E436" s="14"/>
      <c r="F436" s="14"/>
      <c r="G436" s="14"/>
      <c r="H436" s="14"/>
      <c r="I436" s="23"/>
      <c r="J436" s="23"/>
      <c r="K436" s="23"/>
      <c r="L436" s="23"/>
      <c r="M436" s="23"/>
      <c r="N436" s="23"/>
    </row>
    <row r="437" ht="15" customHeight="1">
      <c r="A437" s="23"/>
      <c r="B437" s="284" t="s">
        <v>175</v>
      </c>
      <c r="C437" s="12"/>
      <c r="D437" s="14"/>
      <c r="E437" s="14"/>
      <c r="F437" s="289"/>
      <c r="G437" s="289"/>
      <c r="H437" s="289"/>
      <c r="I437" s="465">
        <f t="shared" ref="I437:N437" si="211">I40</f>
        <v>10685.405578874999</v>
      </c>
      <c r="J437" s="465">
        <f t="shared" si="211"/>
        <v>10542.839122013935</v>
      </c>
      <c r="K437" s="465">
        <f t="shared" si="211"/>
        <v>10407.175021901636</v>
      </c>
      <c r="L437" s="465">
        <f t="shared" si="211"/>
        <v>10224.359902668235</v>
      </c>
      <c r="M437" s="465">
        <f t="shared" si="211"/>
        <v>10154.813937669864</v>
      </c>
      <c r="N437" s="465">
        <f t="shared" si="211"/>
        <v>10107.508683122105</v>
      </c>
      <c r="O437" s="438"/>
    </row>
    <row r="438" ht="15" customHeight="1">
      <c r="A438" s="23"/>
      <c r="B438" s="284" t="s">
        <v>295</v>
      </c>
      <c r="C438" s="12"/>
      <c r="D438" s="14"/>
      <c r="E438" s="14"/>
      <c r="F438" s="289"/>
      <c r="G438" s="289"/>
      <c r="H438" s="289"/>
      <c r="I438" s="465">
        <f>I29*-1</f>
        <v>4962.9375</v>
      </c>
      <c r="J438" s="465">
        <f t="shared" ref="J438:M438" si="212">J29*-1</f>
        <v>5412.9375</v>
      </c>
      <c r="K438" s="465">
        <f t="shared" si="212"/>
        <v>5837.9375</v>
      </c>
      <c r="L438" s="465">
        <f t="shared" si="212"/>
        <v>6187.9375</v>
      </c>
      <c r="M438" s="465">
        <f t="shared" si="212"/>
        <v>6437.9375</v>
      </c>
      <c r="N438" s="465">
        <f>N29*-1</f>
        <v>6712.9375</v>
      </c>
      <c r="O438" s="438"/>
    </row>
    <row r="439" ht="15" customHeight="1">
      <c r="A439" s="23"/>
      <c r="B439" s="284" t="s">
        <v>296</v>
      </c>
      <c r="C439" s="12"/>
      <c r="D439" s="14"/>
      <c r="E439" s="14"/>
      <c r="F439" s="289"/>
      <c r="G439" s="289"/>
      <c r="H439" s="289"/>
      <c r="I439" s="465">
        <f>I364</f>
        <v>3561.8018596249999</v>
      </c>
      <c r="J439" s="465">
        <f t="shared" ref="J439:N439" si="213">J364</f>
        <v>3280.8675153749996</v>
      </c>
      <c r="K439" s="465">
        <f t="shared" si="213"/>
        <v>343.98240625000017</v>
      </c>
      <c r="L439" s="465">
        <f t="shared" si="213"/>
        <v>248.46238906249982</v>
      </c>
      <c r="M439" s="465">
        <f t="shared" si="213"/>
        <v>104.14537445312453</v>
      </c>
      <c r="N439" s="465">
        <f t="shared" si="213"/>
        <v>0</v>
      </c>
      <c r="O439" s="438"/>
    </row>
    <row r="440" ht="15" customHeight="1">
      <c r="A440" s="23"/>
      <c r="B440" s="284" t="s">
        <v>169</v>
      </c>
      <c r="C440" s="12"/>
      <c r="D440" s="14"/>
      <c r="E440" s="14"/>
      <c r="F440" s="289"/>
      <c r="G440" s="289"/>
      <c r="H440" s="289"/>
      <c r="I440" s="465">
        <f>I297</f>
        <v>1025.900009</v>
      </c>
      <c r="J440" s="465">
        <f t="shared" ref="J440:N440" si="214">J297</f>
        <v>819.3332115730924</v>
      </c>
      <c r="K440" s="465">
        <f t="shared" si="214"/>
        <v>619.08887451724127</v>
      </c>
      <c r="L440" s="465">
        <f t="shared" si="214"/>
        <v>445.06614035275874</v>
      </c>
      <c r="M440" s="465">
        <f t="shared" si="214"/>
        <v>209.68184574781742</v>
      </c>
      <c r="N440" s="465">
        <f t="shared" si="214"/>
        <v>3.805799549757694</v>
      </c>
      <c r="O440" s="438"/>
    </row>
    <row r="441" ht="15" customHeight="1">
      <c r="A441" s="23"/>
      <c r="B441" s="284" t="s">
        <v>297</v>
      </c>
      <c r="C441" s="12"/>
      <c r="D441" s="14"/>
      <c r="E441" s="14"/>
      <c r="F441" s="289"/>
      <c r="G441" s="289"/>
      <c r="H441" s="289"/>
      <c r="I441" s="465">
        <f>I423*-1</f>
        <v>0</v>
      </c>
      <c r="J441" s="465">
        <f t="shared" ref="J441:N441" si="215">J423*-1</f>
        <v>-461.30830514327226</v>
      </c>
      <c r="K441" s="465">
        <f t="shared" si="215"/>
        <v>-154.77221862931037</v>
      </c>
      <c r="L441" s="465">
        <f t="shared" si="215"/>
        <v>-111.26653508818981</v>
      </c>
      <c r="M441" s="465">
        <f t="shared" si="215"/>
        <v>-52.420461436953701</v>
      </c>
      <c r="N441" s="465">
        <f t="shared" si="215"/>
        <v>-0.95144988743959402</v>
      </c>
      <c r="O441" s="438"/>
    </row>
    <row r="442" ht="15" customHeight="1">
      <c r="A442" s="23"/>
      <c r="B442" s="284" t="s">
        <v>35</v>
      </c>
      <c r="C442" s="12"/>
      <c r="D442" s="14"/>
      <c r="E442" s="14"/>
      <c r="F442" s="289"/>
      <c r="G442" s="289"/>
      <c r="H442" s="289"/>
      <c r="I442" s="465">
        <f t="shared" ref="I442:I443" si="216">I431</f>
        <v>-10000</v>
      </c>
      <c r="J442" s="465">
        <f t="shared" ref="J442:N443" si="217">J431</f>
        <v>-8000</v>
      </c>
      <c r="K442" s="465">
        <f t="shared" si="217"/>
        <v>-9000</v>
      </c>
      <c r="L442" s="465">
        <f t="shared" si="217"/>
        <v>-5000</v>
      </c>
      <c r="M442" s="465">
        <f t="shared" si="217"/>
        <v>-5000</v>
      </c>
      <c r="N442" s="465">
        <f t="shared" si="217"/>
        <v>-6000</v>
      </c>
      <c r="O442" s="438"/>
    </row>
    <row r="443" ht="15" customHeight="1">
      <c r="A443" s="23"/>
      <c r="B443" s="284" t="s">
        <v>292</v>
      </c>
      <c r="C443" s="12"/>
      <c r="D443" s="14"/>
      <c r="E443" s="14"/>
      <c r="F443" s="289"/>
      <c r="G443" s="289"/>
      <c r="H443" s="289"/>
      <c r="I443" s="465">
        <f t="shared" si="216"/>
        <v>-416.38408003424593</v>
      </c>
      <c r="J443" s="465">
        <f t="shared" si="217"/>
        <v>-103.64260740102782</v>
      </c>
      <c r="K443" s="465">
        <f t="shared" si="217"/>
        <v>-105.38650732305814</v>
      </c>
      <c r="L443" s="465">
        <f t="shared" si="217"/>
        <v>-77.458350702958342</v>
      </c>
      <c r="M443" s="465">
        <f t="shared" si="217"/>
        <v>-78.329404783040445</v>
      </c>
      <c r="N443" s="465">
        <f t="shared" si="217"/>
        <v>-54.841129448020183</v>
      </c>
      <c r="O443" s="438"/>
    </row>
    <row r="444" ht="15" customHeight="1">
      <c r="A444" s="23"/>
      <c r="B444" s="284" t="s">
        <v>293</v>
      </c>
      <c r="C444" s="13"/>
      <c r="D444" s="569"/>
      <c r="E444" s="569"/>
      <c r="F444" s="289"/>
      <c r="G444" s="289"/>
      <c r="H444" s="289"/>
      <c r="I444" s="534">
        <f>SUM(I437:I443)</f>
        <v>9819.6608674657527</v>
      </c>
      <c r="J444" s="534">
        <f t="shared" ref="J444:M444" si="218">SUM(J437:J443)</f>
        <v>11491.026436417727</v>
      </c>
      <c r="K444" s="534">
        <f t="shared" si="218"/>
        <v>7948.0250767165098</v>
      </c>
      <c r="L444" s="534">
        <f t="shared" si="218"/>
        <v>11917.101046292346</v>
      </c>
      <c r="M444" s="534">
        <f t="shared" si="218"/>
        <v>11775.828791650814</v>
      </c>
      <c r="N444" s="534">
        <f>SUM(N437:N443)</f>
        <v>10768.459403336401</v>
      </c>
      <c r="O444" s="438"/>
    </row>
    <row r="445" ht="15" customHeight="1">
      <c r="A445" s="23"/>
      <c r="N445" s="4"/>
      <c r="O445" s="438"/>
    </row>
    <row r="446" ht="15" customHeight="1">
      <c r="A446" s="23"/>
      <c r="O446" s="438"/>
    </row>
    <row r="447" ht="15" customHeight="1">
      <c r="A447" s="23"/>
      <c r="B447" s="296" t="s">
        <v>298</v>
      </c>
      <c r="C447" s="572"/>
      <c r="D447" s="426" t="str">
        <f>'Model-R'!S353</f>
        <v/>
      </c>
      <c r="E447" s="573"/>
      <c r="F447" s="574"/>
      <c r="G447" s="574"/>
      <c r="H447" s="574"/>
      <c r="I447" s="575">
        <f t="shared" ref="I447:N447" si="219">IF(ROUND(I433-I444,1)=0,0,1)</f>
        <v>0</v>
      </c>
      <c r="J447" s="576">
        <f t="shared" si="219"/>
        <v>0</v>
      </c>
      <c r="K447" s="576">
        <f t="shared" si="219"/>
        <v>0</v>
      </c>
      <c r="L447" s="576">
        <f t="shared" si="219"/>
        <v>0</v>
      </c>
      <c r="M447" s="576">
        <f t="shared" si="219"/>
        <v>0</v>
      </c>
      <c r="N447" s="577">
        <f t="shared" si="219"/>
        <v>0</v>
      </c>
      <c r="O447" s="438"/>
    </row>
    <row r="448" ht="15" customHeight="1">
      <c r="A448" s="23"/>
      <c r="C448" s="572"/>
      <c r="D448" s="573"/>
      <c r="E448" s="573"/>
      <c r="F448" s="574"/>
      <c r="G448" s="574"/>
      <c r="H448" s="574"/>
      <c r="I448" s="574"/>
      <c r="J448" s="574"/>
      <c r="K448" s="574"/>
      <c r="L448" s="574"/>
      <c r="M448" s="574"/>
      <c r="N448" s="574"/>
      <c r="O448" s="438"/>
    </row>
    <row r="449" ht="15" customHeight="1">
      <c r="A449" s="23"/>
      <c r="C449" s="572"/>
      <c r="D449" s="573"/>
      <c r="E449" s="573"/>
      <c r="F449" s="574"/>
      <c r="G449" s="574"/>
      <c r="H449" s="574"/>
      <c r="O449" s="438"/>
    </row>
    <row r="450" ht="15" customHeight="1">
      <c r="A450" s="23"/>
      <c r="B450" s="23"/>
      <c r="C450" s="12"/>
      <c r="D450" s="14"/>
      <c r="E450" s="14"/>
      <c r="F450" s="14"/>
      <c r="G450" s="14"/>
      <c r="H450" s="14"/>
      <c r="I450" s="16"/>
      <c r="J450" s="16"/>
      <c r="K450" s="16"/>
      <c r="L450" s="16"/>
      <c r="M450" s="23"/>
      <c r="N450" s="132" t="s">
        <v>299</v>
      </c>
      <c r="O450" s="438"/>
    </row>
    <row r="451" ht="15" customHeight="1">
      <c r="A451" s="23"/>
      <c r="B451" s="23"/>
      <c r="C451" s="12"/>
      <c r="D451" s="14"/>
      <c r="E451" s="14"/>
      <c r="F451" s="14"/>
      <c r="G451" s="14"/>
      <c r="H451" s="14"/>
      <c r="I451" s="16"/>
      <c r="J451" s="16"/>
      <c r="K451" s="16"/>
      <c r="L451" s="16"/>
      <c r="M451" s="23"/>
      <c r="N451" s="535" t="s">
        <v>300</v>
      </c>
      <c r="O451" s="438"/>
    </row>
    <row r="452" ht="15" customHeight="1">
      <c r="A452" s="23"/>
      <c r="O452" s="438"/>
    </row>
    <row r="453" ht="15" customHeight="1">
      <c r="A453" s="23"/>
      <c r="B453" s="280"/>
      <c r="C453" s="431"/>
      <c r="D453" s="432"/>
      <c r="E453" s="432"/>
      <c r="F453" s="578"/>
      <c r="G453" s="578"/>
      <c r="H453" s="578"/>
      <c r="I453" s="578"/>
      <c r="J453" s="578"/>
      <c r="K453" s="578"/>
      <c r="L453" s="578"/>
      <c r="M453" s="578"/>
      <c r="N453" s="578"/>
      <c r="O453" s="438"/>
    </row>
    <row r="454" ht="15" customHeight="1">
      <c r="A454" s="23"/>
      <c r="B454" s="11"/>
      <c r="C454" s="12"/>
      <c r="D454" s="14"/>
      <c r="E454" s="14"/>
      <c r="F454" s="14"/>
      <c r="G454" s="14"/>
      <c r="H454" s="14"/>
      <c r="I454" s="16"/>
      <c r="J454" s="16"/>
      <c r="K454" s="16"/>
      <c r="L454" s="16"/>
      <c r="M454" s="16"/>
      <c r="N454" s="16"/>
      <c r="O454" s="438"/>
    </row>
    <row r="455" ht="15" customHeight="1">
      <c r="A455" s="23"/>
      <c r="B455" s="6" t="s">
        <v>301</v>
      </c>
      <c r="C455" s="7"/>
      <c r="D455" s="459"/>
      <c r="E455" s="459"/>
      <c r="F455" s="9"/>
      <c r="G455" s="9"/>
      <c r="H455" s="9"/>
      <c r="I455" s="460"/>
      <c r="J455" s="461"/>
      <c r="K455" s="461"/>
      <c r="L455" s="461"/>
      <c r="M455" s="461"/>
      <c r="N455" s="401"/>
      <c r="O455" s="438"/>
    </row>
    <row r="456" ht="15" customHeight="1">
      <c r="A456" s="23"/>
      <c r="B456" s="176"/>
      <c r="C456" s="12"/>
      <c r="D456" s="13"/>
      <c r="E456" s="13"/>
      <c r="F456" s="10"/>
      <c r="G456" s="10"/>
      <c r="H456" s="10"/>
      <c r="I456" s="10"/>
      <c r="J456" s="10"/>
      <c r="K456" s="10"/>
      <c r="L456" s="10"/>
      <c r="M456" s="10"/>
      <c r="N456" s="10"/>
      <c r="O456" s="438"/>
    </row>
    <row r="457" ht="15" customHeight="1">
      <c r="A457" s="23"/>
      <c r="B457" s="11" t="s">
        <v>3</v>
      </c>
      <c r="C457" s="12"/>
      <c r="D457" s="13"/>
      <c r="E457" s="13"/>
      <c r="F457" s="23"/>
      <c r="G457" s="23"/>
      <c r="H457" s="23"/>
      <c r="I457" s="23"/>
      <c r="J457" s="23"/>
      <c r="K457" s="23"/>
      <c r="L457" s="23"/>
      <c r="M457" s="23"/>
      <c r="N457" s="23"/>
      <c r="O457" s="438"/>
    </row>
    <row r="458" ht="15" customHeight="1">
      <c r="B458" s="11" t="str">
        <f>$B$4</f>
        <v xml:space="preserve">Model Running: Base Case Drivers</v>
      </c>
      <c r="C458" s="23"/>
      <c r="D458" s="23"/>
      <c r="E458" s="14"/>
      <c r="F458" s="10"/>
      <c r="G458" s="10"/>
      <c r="H458" s="579" t="s">
        <v>130</v>
      </c>
      <c r="I458" s="580" t="s">
        <v>302</v>
      </c>
      <c r="J458" s="581"/>
      <c r="K458" s="581"/>
      <c r="L458" s="581"/>
      <c r="M458" s="581"/>
      <c r="N458" s="582" t="s">
        <v>31</v>
      </c>
    </row>
    <row r="459" ht="15" customHeight="1">
      <c r="B459" s="23"/>
      <c r="C459" s="23"/>
      <c r="D459" s="23"/>
      <c r="E459" s="14"/>
      <c r="F459" s="23"/>
      <c r="G459" s="23"/>
      <c r="H459" s="583" t="s">
        <v>117</v>
      </c>
      <c r="I459" s="583" t="s">
        <v>117</v>
      </c>
      <c r="J459" s="584" t="s">
        <v>117</v>
      </c>
      <c r="K459" s="584" t="s">
        <v>117</v>
      </c>
      <c r="L459" s="584" t="s">
        <v>117</v>
      </c>
      <c r="M459" s="584" t="s">
        <v>117</v>
      </c>
      <c r="N459" s="585" t="s">
        <v>117</v>
      </c>
    </row>
    <row r="460" ht="15" customHeight="1">
      <c r="B460" s="390" t="s">
        <v>303</v>
      </c>
      <c r="C460" s="586">
        <f>Inputs!F115</f>
        <v>0.01</v>
      </c>
      <c r="D460" s="23"/>
      <c r="E460" s="14"/>
      <c r="F460" s="587" t="s">
        <v>304</v>
      </c>
      <c r="G460" s="23"/>
      <c r="H460" s="588">
        <f>Inputs!$F$102</f>
        <v>45016</v>
      </c>
      <c r="I460" s="588">
        <f>Inputs!$F$104</f>
        <v>45291</v>
      </c>
      <c r="J460" s="589">
        <f>EDATE(I460,12)</f>
        <v>45657</v>
      </c>
      <c r="K460" s="589">
        <f t="shared" ref="K460:M460" si="220">EDATE(J460,12)</f>
        <v>46022</v>
      </c>
      <c r="L460" s="589">
        <f t="shared" si="220"/>
        <v>46387</v>
      </c>
      <c r="M460" s="589">
        <f t="shared" si="220"/>
        <v>46752</v>
      </c>
      <c r="N460" s="590">
        <f t="shared" ref="J460:N461" si="221">EDATE(M460,12)</f>
        <v>47118</v>
      </c>
    </row>
    <row r="461" ht="15" customHeight="1">
      <c r="B461" s="408" t="s">
        <v>14</v>
      </c>
      <c r="C461" s="591">
        <f>Inputs!F117</f>
        <v>0.095866057127655321</v>
      </c>
      <c r="D461" s="13"/>
      <c r="E461" s="13"/>
      <c r="F461" s="587" t="s">
        <v>305</v>
      </c>
      <c r="G461" s="23"/>
      <c r="H461" s="588">
        <f>H460</f>
        <v>45016</v>
      </c>
      <c r="I461" s="588">
        <f>Inputs!$F$103</f>
        <v>45107</v>
      </c>
      <c r="J461" s="589">
        <f t="shared" si="221"/>
        <v>45473</v>
      </c>
      <c r="K461" s="589">
        <f t="shared" si="221"/>
        <v>45838</v>
      </c>
      <c r="L461" s="589">
        <f t="shared" si="221"/>
        <v>46203</v>
      </c>
      <c r="M461" s="589">
        <f t="shared" si="221"/>
        <v>46568</v>
      </c>
      <c r="N461" s="592">
        <f t="shared" si="221"/>
        <v>46934</v>
      </c>
    </row>
    <row r="462" ht="15" customHeight="1">
      <c r="B462" s="176"/>
      <c r="C462" s="12"/>
      <c r="D462" s="13"/>
      <c r="E462" s="13"/>
      <c r="F462" s="10"/>
      <c r="G462" s="10"/>
      <c r="H462" s="593"/>
      <c r="I462" s="593"/>
      <c r="J462" s="593"/>
      <c r="K462" s="593"/>
      <c r="L462" s="593"/>
      <c r="M462" s="593"/>
      <c r="N462" s="593"/>
    </row>
    <row r="463" ht="15" customHeight="1">
      <c r="B463" s="73" t="s">
        <v>293</v>
      </c>
      <c r="C463" s="23"/>
      <c r="D463" s="14"/>
      <c r="E463" s="14"/>
      <c r="F463" s="289"/>
      <c r="G463" s="289"/>
      <c r="H463" s="594">
        <v>0</v>
      </c>
      <c r="I463" s="394">
        <f>I444</f>
        <v>9819.6608674657527</v>
      </c>
      <c r="J463" s="394">
        <f t="shared" ref="J463:N463" si="222">J444</f>
        <v>11491.026436417727</v>
      </c>
      <c r="K463" s="394">
        <f t="shared" si="222"/>
        <v>7948.0250767165098</v>
      </c>
      <c r="L463" s="394">
        <f t="shared" si="222"/>
        <v>11917.101046292346</v>
      </c>
      <c r="M463" s="394">
        <f t="shared" si="222"/>
        <v>11775.828791650814</v>
      </c>
      <c r="N463" s="394">
        <f t="shared" si="222"/>
        <v>10768.459403336401</v>
      </c>
    </row>
    <row r="464" ht="15" customHeight="1"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</row>
    <row r="465" ht="15" customHeight="1">
      <c r="B465" s="11"/>
      <c r="C465" s="23"/>
      <c r="E465" s="14"/>
      <c r="G465" s="14"/>
      <c r="H465" s="14"/>
      <c r="I465" s="16"/>
      <c r="J465" s="16"/>
      <c r="K465" s="16"/>
      <c r="L465" s="16"/>
      <c r="M465" s="16"/>
      <c r="N465" s="23"/>
    </row>
    <row r="466" ht="15" customHeight="1">
      <c r="B466" s="61" t="s">
        <v>306</v>
      </c>
      <c r="C466" s="23"/>
      <c r="E466" s="14"/>
      <c r="G466" s="14"/>
      <c r="H466" s="14"/>
      <c r="I466" s="16"/>
      <c r="J466" s="16"/>
      <c r="K466" s="16"/>
      <c r="L466" s="16"/>
      <c r="M466" s="16"/>
      <c r="N466" s="23"/>
    </row>
    <row r="467" ht="15" customHeight="1">
      <c r="B467" s="284" t="s">
        <v>302</v>
      </c>
      <c r="C467" s="23"/>
      <c r="D467" s="595"/>
      <c r="E467" s="14"/>
      <c r="G467" s="289"/>
      <c r="H467" s="410">
        <v>0</v>
      </c>
      <c r="I467" s="411">
        <f>I463</f>
        <v>9819.6608674657527</v>
      </c>
      <c r="J467" s="411">
        <f t="shared" ref="J467:M467" si="223">J463</f>
        <v>11491.026436417727</v>
      </c>
      <c r="K467" s="411">
        <f t="shared" si="223"/>
        <v>7948.0250767165098</v>
      </c>
      <c r="L467" s="411">
        <f t="shared" si="223"/>
        <v>11917.101046292346</v>
      </c>
      <c r="M467" s="411">
        <f t="shared" si="223"/>
        <v>11775.828791650814</v>
      </c>
      <c r="N467" s="441"/>
      <c r="O467" s="59"/>
    </row>
    <row r="468" ht="15" customHeight="1">
      <c r="B468" s="284" t="s">
        <v>307</v>
      </c>
      <c r="C468" s="23"/>
      <c r="D468" s="14"/>
      <c r="E468" s="14"/>
      <c r="G468" s="289"/>
      <c r="H468" s="412">
        <v>0</v>
      </c>
      <c r="I468" s="412">
        <v>0</v>
      </c>
      <c r="J468" s="412">
        <v>0</v>
      </c>
      <c r="K468" s="412">
        <v>0</v>
      </c>
      <c r="L468" s="412">
        <v>0</v>
      </c>
      <c r="M468" s="413">
        <f>N463/(C461-C460)</f>
        <v>125409.96714600683</v>
      </c>
      <c r="N468" s="441"/>
      <c r="O468" s="59"/>
    </row>
    <row r="469" ht="15" customHeight="1">
      <c r="A469" s="23"/>
      <c r="B469" s="284" t="s">
        <v>308</v>
      </c>
      <c r="C469" s="23"/>
      <c r="D469" s="569"/>
      <c r="E469" s="569"/>
      <c r="F469" s="289"/>
      <c r="G469" s="289"/>
      <c r="H469" s="411">
        <f>SUM(H467:H468)</f>
        <v>0</v>
      </c>
      <c r="I469" s="411">
        <f>SUM(I467:I468)</f>
        <v>9819.6608674657527</v>
      </c>
      <c r="J469" s="411">
        <f t="shared" ref="J469:M469" si="224">SUM(J467:J468)</f>
        <v>11491.026436417727</v>
      </c>
      <c r="K469" s="411">
        <f t="shared" si="224"/>
        <v>7948.0250767165098</v>
      </c>
      <c r="L469" s="411">
        <f t="shared" si="224"/>
        <v>11917.101046292346</v>
      </c>
      <c r="M469" s="411">
        <f t="shared" si="224"/>
        <v>137185.79593765765</v>
      </c>
      <c r="N469" s="289"/>
      <c r="O469" s="59"/>
    </row>
    <row r="470" ht="15" customHeight="1">
      <c r="A470" s="23"/>
      <c r="B470" s="61"/>
      <c r="C470" s="23"/>
      <c r="D470" s="14"/>
      <c r="E470" s="14"/>
      <c r="F470" s="570"/>
      <c r="G470" s="570"/>
      <c r="H470" s="570"/>
      <c r="I470" s="570"/>
      <c r="J470" s="570"/>
      <c r="K470" s="570"/>
      <c r="L470" s="570"/>
      <c r="O470" s="23"/>
    </row>
    <row r="471" ht="15" customHeight="1">
      <c r="B471" s="61" t="s">
        <v>309</v>
      </c>
      <c r="C471" s="23"/>
      <c r="D471" s="14"/>
      <c r="E471" s="14"/>
      <c r="G471" s="14"/>
      <c r="H471" s="14"/>
      <c r="I471" s="16"/>
      <c r="J471" s="16"/>
      <c r="K471" s="16"/>
      <c r="L471" s="16"/>
      <c r="M471" s="16"/>
      <c r="N471" s="289"/>
    </row>
    <row r="472" ht="15" customHeight="1">
      <c r="B472" s="284" t="s">
        <v>310</v>
      </c>
      <c r="C472" s="23"/>
      <c r="D472" s="14"/>
      <c r="E472" s="14"/>
      <c r="F472" s="570"/>
      <c r="G472" s="570"/>
      <c r="H472" s="410">
        <v>0</v>
      </c>
      <c r="I472" s="596">
        <f>YEARFRAC(I460,H460)</f>
        <v>0.75</v>
      </c>
      <c r="J472" s="596">
        <f t="shared" ref="J472:M472" si="225">YEARFRAC(J460,I460)</f>
        <v>1</v>
      </c>
      <c r="K472" s="596">
        <f t="shared" si="225"/>
        <v>1</v>
      </c>
      <c r="L472" s="596">
        <f t="shared" si="225"/>
        <v>1</v>
      </c>
      <c r="M472" s="596">
        <f t="shared" si="225"/>
        <v>1</v>
      </c>
      <c r="N472" s="289"/>
    </row>
    <row r="473" ht="15" customHeight="1">
      <c r="B473" s="284"/>
      <c r="C473" s="23"/>
      <c r="D473" s="14"/>
      <c r="E473" s="14"/>
      <c r="F473" s="570"/>
      <c r="G473" s="570"/>
      <c r="H473" s="410"/>
      <c r="I473" s="597"/>
      <c r="J473" s="597"/>
      <c r="K473" s="597"/>
      <c r="L473" s="597"/>
      <c r="M473" s="597"/>
      <c r="N473" s="289"/>
    </row>
    <row r="474" ht="15" customHeight="1">
      <c r="B474" s="284" t="s">
        <v>302</v>
      </c>
      <c r="C474" s="23"/>
      <c r="D474" s="595"/>
      <c r="E474" s="14"/>
      <c r="G474" s="289"/>
      <c r="H474" s="410">
        <v>0</v>
      </c>
      <c r="I474" s="411">
        <f t="shared" ref="I474:M475" si="226">I467*I$472</f>
        <v>7364.7456505993141</v>
      </c>
      <c r="J474" s="411">
        <f t="shared" si="226"/>
        <v>11491.026436417727</v>
      </c>
      <c r="K474" s="411">
        <f t="shared" si="226"/>
        <v>7948.0250767165098</v>
      </c>
      <c r="L474" s="411">
        <f t="shared" si="226"/>
        <v>11917.101046292346</v>
      </c>
      <c r="M474" s="411">
        <f t="shared" si="226"/>
        <v>11775.828791650814</v>
      </c>
      <c r="N474" s="289"/>
    </row>
    <row r="475" ht="15" customHeight="1">
      <c r="B475" s="284" t="s">
        <v>307</v>
      </c>
      <c r="C475" s="23"/>
      <c r="D475" s="14"/>
      <c r="E475" s="14"/>
      <c r="G475" s="289"/>
      <c r="H475" s="412">
        <v>0</v>
      </c>
      <c r="I475" s="413">
        <f t="shared" si="226"/>
        <v>0</v>
      </c>
      <c r="J475" s="413">
        <f t="shared" si="226"/>
        <v>0</v>
      </c>
      <c r="K475" s="413">
        <f t="shared" si="226"/>
        <v>0</v>
      </c>
      <c r="L475" s="413">
        <f t="shared" si="226"/>
        <v>0</v>
      </c>
      <c r="M475" s="413">
        <f t="shared" si="226"/>
        <v>125409.96714600683</v>
      </c>
      <c r="N475" s="289"/>
    </row>
    <row r="476" ht="15" customHeight="1">
      <c r="B476" s="284" t="s">
        <v>308</v>
      </c>
      <c r="C476" s="23"/>
      <c r="D476" s="569"/>
      <c r="E476" s="569"/>
      <c r="F476" s="289"/>
      <c r="G476" s="289"/>
      <c r="H476" s="411">
        <f>SUM(H474:H475)</f>
        <v>0</v>
      </c>
      <c r="I476" s="411">
        <f>SUM(I474:I475)</f>
        <v>7364.7456505993141</v>
      </c>
      <c r="J476" s="411">
        <f t="shared" ref="J476:M476" si="227">SUM(J474:J475)</f>
        <v>11491.026436417727</v>
      </c>
      <c r="K476" s="411">
        <f t="shared" si="227"/>
        <v>7948.0250767165098</v>
      </c>
      <c r="L476" s="411">
        <f t="shared" si="227"/>
        <v>11917.101046292346</v>
      </c>
      <c r="M476" s="411">
        <f t="shared" si="227"/>
        <v>137185.79593765765</v>
      </c>
      <c r="N476" s="289"/>
    </row>
    <row r="477" ht="15" customHeight="1">
      <c r="B477" s="284"/>
      <c r="C477" s="23"/>
      <c r="D477" s="14"/>
      <c r="E477" s="14"/>
      <c r="F477" s="570"/>
      <c r="G477" s="570"/>
      <c r="H477" s="410"/>
      <c r="I477" s="597"/>
      <c r="J477" s="597"/>
      <c r="K477" s="597"/>
      <c r="L477" s="597"/>
      <c r="M477" s="597"/>
      <c r="N477" s="289"/>
    </row>
    <row r="478" ht="15" customHeight="1">
      <c r="B478" s="61" t="s">
        <v>311</v>
      </c>
      <c r="C478" s="23"/>
      <c r="D478" s="14"/>
      <c r="E478" s="14"/>
      <c r="G478" s="14"/>
      <c r="H478" s="14"/>
      <c r="I478" s="16"/>
      <c r="J478" s="16"/>
      <c r="K478" s="16"/>
      <c r="L478" s="16"/>
      <c r="M478" s="16"/>
      <c r="N478" s="289"/>
    </row>
    <row r="479" ht="15" customHeight="1">
      <c r="B479" s="284" t="s">
        <v>312</v>
      </c>
      <c r="D479" s="14"/>
      <c r="E479" s="14"/>
      <c r="F479" s="289"/>
      <c r="G479" s="289"/>
      <c r="H479" s="278">
        <v>0</v>
      </c>
      <c r="I479" s="598">
        <f>H479+YEARFRAC(I461,H461)</f>
        <v>0.25</v>
      </c>
      <c r="J479" s="598">
        <f t="shared" ref="J479:M479" si="228">I479+YEARFRAC(J461,I461)</f>
        <v>1.25</v>
      </c>
      <c r="K479" s="598">
        <f t="shared" si="228"/>
        <v>2.25</v>
      </c>
      <c r="L479" s="598">
        <f t="shared" si="228"/>
        <v>3.25</v>
      </c>
      <c r="M479" s="598">
        <f t="shared" si="228"/>
        <v>4.25</v>
      </c>
      <c r="N479" s="289"/>
    </row>
    <row r="480" ht="15" customHeight="1">
      <c r="B480" s="284"/>
      <c r="D480" s="14"/>
      <c r="E480" s="14"/>
      <c r="F480" s="289"/>
      <c r="G480" s="289"/>
      <c r="H480" s="278"/>
      <c r="I480" s="279"/>
      <c r="J480" s="279"/>
      <c r="K480" s="279"/>
      <c r="L480" s="279"/>
      <c r="M480" s="279"/>
      <c r="N480" s="289"/>
    </row>
    <row r="481" ht="15" customHeight="1">
      <c r="B481" s="284" t="s">
        <v>302</v>
      </c>
      <c r="C481" s="23"/>
      <c r="D481" s="595"/>
      <c r="E481" s="14"/>
      <c r="G481" s="289"/>
      <c r="H481" s="400">
        <v>0</v>
      </c>
      <c r="I481" s="411">
        <f t="shared" ref="I481:I482" si="229">I474/(1+$C$461)^I$479</f>
        <v>7198.108418375462</v>
      </c>
      <c r="J481" s="411">
        <f>J474/(1+$C$461)^J479</f>
        <v>10248.539502620039</v>
      </c>
      <c r="K481" s="411">
        <f>K474/(1+$C$461)^K479</f>
        <v>6468.5197547612315</v>
      </c>
      <c r="L481" s="411">
        <f>L474/(1+$C$461)^L479</f>
        <v>8850.3169985200966</v>
      </c>
      <c r="M481" s="411">
        <f>M474/(1+$C$461)^M479</f>
        <v>7980.3550176247445</v>
      </c>
      <c r="N481" s="289"/>
    </row>
    <row r="482" ht="15" customHeight="1">
      <c r="B482" s="284" t="s">
        <v>307</v>
      </c>
      <c r="C482" s="23"/>
      <c r="D482" s="14"/>
      <c r="E482" s="14"/>
      <c r="G482" s="289"/>
      <c r="H482" s="412">
        <v>0</v>
      </c>
      <c r="I482" s="413">
        <f t="shared" si="229"/>
        <v>0</v>
      </c>
      <c r="J482" s="413">
        <f>J475/(1+$C$461)^J$479</f>
        <v>0</v>
      </c>
      <c r="K482" s="413">
        <f>K475/(1+$C$461)^K$479</f>
        <v>0</v>
      </c>
      <c r="L482" s="413">
        <f>L475/(1+$C$461)^L$479</f>
        <v>0</v>
      </c>
      <c r="M482" s="413">
        <f>M475/(1+$C$461)^M$479</f>
        <v>84989.012517180876</v>
      </c>
      <c r="N482" s="289"/>
    </row>
    <row r="483" ht="15" customHeight="1">
      <c r="B483" s="284" t="s">
        <v>308</v>
      </c>
      <c r="C483" s="23"/>
      <c r="D483" s="569"/>
      <c r="E483" s="569"/>
      <c r="F483" s="289"/>
      <c r="G483" s="289"/>
      <c r="H483" s="411">
        <f>SUM(H481:H482)</f>
        <v>0</v>
      </c>
      <c r="I483" s="411">
        <f>SUM(I481:I482)</f>
        <v>7198.108418375462</v>
      </c>
      <c r="J483" s="411">
        <f t="shared" ref="J483:M483" si="230">SUM(J481:J482)</f>
        <v>10248.539502620039</v>
      </c>
      <c r="K483" s="411">
        <f t="shared" si="230"/>
        <v>6468.5197547612315</v>
      </c>
      <c r="L483" s="411">
        <f t="shared" si="230"/>
        <v>8850.3169985200966</v>
      </c>
      <c r="M483" s="411">
        <f t="shared" si="230"/>
        <v>92969.367534805613</v>
      </c>
      <c r="N483" s="289"/>
    </row>
    <row r="484" ht="15" customHeight="1">
      <c r="B484" s="284"/>
      <c r="C484" s="23"/>
      <c r="D484" s="14"/>
      <c r="E484" s="14"/>
      <c r="F484" s="570"/>
      <c r="G484" s="570"/>
      <c r="H484" s="410"/>
      <c r="I484" s="597"/>
      <c r="J484" s="597"/>
      <c r="K484" s="597"/>
      <c r="L484" s="597"/>
      <c r="M484" s="597"/>
      <c r="N484" s="289"/>
    </row>
    <row r="485" ht="15" customHeight="1">
      <c r="F485" s="4"/>
      <c r="G485" s="4"/>
      <c r="H485" s="4"/>
      <c r="I485" s="4"/>
      <c r="J485" s="4"/>
      <c r="K485" s="4"/>
      <c r="L485" s="4"/>
      <c r="M485" s="4"/>
    </row>
    <row r="486" ht="15" customHeight="1">
      <c r="F486" s="61" t="s">
        <v>313</v>
      </c>
      <c r="G486" s="599"/>
      <c r="H486" s="4"/>
      <c r="I486" s="4"/>
      <c r="J486" s="61" t="s">
        <v>313</v>
      </c>
      <c r="K486" s="599"/>
      <c r="L486" s="4"/>
      <c r="M486" s="4"/>
    </row>
    <row r="487" ht="15" customHeight="1">
      <c r="F487" s="600" t="s">
        <v>314</v>
      </c>
      <c r="G487" s="601"/>
      <c r="H487" s="391">
        <f>SUM(I483:M483)</f>
        <v>125734.85220908244</v>
      </c>
      <c r="I487" s="550">
        <f>'Model-R'!S393</f>
        <v>1</v>
      </c>
      <c r="J487" s="600" t="s">
        <v>315</v>
      </c>
      <c r="K487" s="601"/>
      <c r="L487" s="391">
        <f t="shared" ref="L487:L488" si="231">SUM(I481:M481)</f>
        <v>40745.839691901572</v>
      </c>
      <c r="M487" s="602">
        <f t="shared" ref="M487:M488" si="232">L487/$L$489</f>
        <v>0.32406161836613107</v>
      </c>
    </row>
    <row r="488" ht="15" customHeight="1">
      <c r="F488" s="603" t="s">
        <v>316</v>
      </c>
      <c r="G488" s="282"/>
      <c r="H488" s="468">
        <f>XNPV(C461,H476:M476,H461:M461)</f>
        <v>125713.00817128498</v>
      </c>
      <c r="I488" s="550">
        <f>'Model-R'!S394</f>
        <v>1</v>
      </c>
      <c r="J488" s="604" t="s">
        <v>317</v>
      </c>
      <c r="K488" s="4"/>
      <c r="L488" s="391">
        <f t="shared" si="231"/>
        <v>84989.012517180876</v>
      </c>
      <c r="M488" s="602">
        <f t="shared" si="232"/>
        <v>0.67593838163386888</v>
      </c>
    </row>
    <row r="489" ht="15" customHeight="1">
      <c r="I489" s="60"/>
      <c r="J489" s="604" t="s">
        <v>318</v>
      </c>
      <c r="K489" s="4"/>
      <c r="L489" s="391">
        <f>SUM(L487:L488)</f>
        <v>125734.85220908246</v>
      </c>
      <c r="M489" s="602">
        <f>M487+M488</f>
        <v>1</v>
      </c>
    </row>
    <row r="490" ht="15" customHeight="1">
      <c r="F490" s="4"/>
      <c r="G490" s="4"/>
      <c r="H490" s="4"/>
      <c r="I490" s="60"/>
      <c r="J490" s="601"/>
      <c r="K490" s="601"/>
      <c r="L490" s="601"/>
      <c r="M490" s="601"/>
    </row>
    <row r="491" ht="15" customHeight="1">
      <c r="F491" s="4"/>
      <c r="G491" s="4"/>
      <c r="H491" s="4"/>
      <c r="I491" s="60"/>
      <c r="J491" s="4"/>
      <c r="K491" s="4"/>
      <c r="L491" s="4"/>
      <c r="M491" s="4"/>
    </row>
    <row r="492" ht="15" customHeight="1">
      <c r="F492" s="61" t="s">
        <v>319</v>
      </c>
      <c r="G492" s="289"/>
      <c r="H492" s="4"/>
      <c r="I492" s="60"/>
      <c r="J492" s="61" t="s">
        <v>320</v>
      </c>
      <c r="K492" s="289"/>
      <c r="L492" s="4"/>
      <c r="M492" s="4"/>
    </row>
    <row r="493" ht="15" customHeight="1">
      <c r="F493" s="600" t="s">
        <v>318</v>
      </c>
      <c r="G493" s="601"/>
      <c r="H493" s="391">
        <f>H488</f>
        <v>125713.00817128498</v>
      </c>
      <c r="I493" s="550">
        <f>'Model-R'!S399</f>
        <v>1</v>
      </c>
      <c r="J493" s="600" t="s">
        <v>25</v>
      </c>
      <c r="K493" s="601"/>
      <c r="L493" s="601"/>
      <c r="M493" s="391">
        <f>H495</f>
        <v>107071.00817128498</v>
      </c>
    </row>
    <row r="494" ht="15" customHeight="1">
      <c r="F494" s="604" t="s">
        <v>321</v>
      </c>
      <c r="G494" s="4"/>
      <c r="H494" s="466">
        <f>-Inputs!L102</f>
        <v>-18642</v>
      </c>
      <c r="I494" s="60"/>
      <c r="J494" s="604" t="s">
        <v>18</v>
      </c>
      <c r="K494" s="4"/>
      <c r="L494" s="605" t="s">
        <v>19</v>
      </c>
      <c r="M494" s="466">
        <f>Inputs!F113</f>
        <v>34200</v>
      </c>
    </row>
    <row r="495" ht="15" customHeight="1">
      <c r="F495" s="603" t="s">
        <v>25</v>
      </c>
      <c r="G495" s="282"/>
      <c r="H495" s="395">
        <f>SUM(H493:H494)</f>
        <v>107071.00817128498</v>
      </c>
      <c r="I495" s="550">
        <f>'Model-R'!S401</f>
        <v>1</v>
      </c>
      <c r="J495" s="604" t="s">
        <v>25</v>
      </c>
      <c r="K495" s="4"/>
      <c r="L495" s="606" t="s">
        <v>322</v>
      </c>
      <c r="M495" s="607">
        <f>M493/M494</f>
        <v>3.130731233078508</v>
      </c>
    </row>
    <row r="496" ht="15" customHeight="1">
      <c r="C496" s="289"/>
      <c r="F496" s="4"/>
      <c r="G496" s="4"/>
      <c r="H496" s="4"/>
      <c r="I496" s="4"/>
      <c r="J496" s="601"/>
      <c r="K496" s="601"/>
      <c r="L496" s="601"/>
      <c r="M496" s="601"/>
    </row>
    <row r="497" ht="15" customHeight="1">
      <c r="C497" s="289"/>
      <c r="F497" s="4"/>
      <c r="G497" s="4"/>
      <c r="H497" s="4"/>
      <c r="I497" s="4"/>
      <c r="J497" s="4"/>
      <c r="K497" s="4"/>
      <c r="L497" s="4"/>
      <c r="M497" s="4"/>
    </row>
    <row r="498" ht="15" customHeight="1">
      <c r="B498" s="23"/>
      <c r="C498" s="12"/>
      <c r="D498" s="426" t="str">
        <f>'Model-R'!S404</f>
        <v/>
      </c>
      <c r="E498" s="14"/>
      <c r="F498" s="14"/>
      <c r="G498" s="14"/>
      <c r="H498" s="14"/>
      <c r="I498" s="16"/>
      <c r="J498" s="16"/>
      <c r="K498" s="16"/>
      <c r="L498" s="16"/>
      <c r="M498" s="132" t="s">
        <v>323</v>
      </c>
      <c r="N498" s="23"/>
    </row>
    <row r="499" ht="15" customHeight="1">
      <c r="B499" s="23"/>
      <c r="C499" s="12"/>
      <c r="D499" s="14"/>
      <c r="E499" s="14"/>
      <c r="F499" s="14"/>
      <c r="G499" s="14"/>
      <c r="H499" s="14"/>
      <c r="I499" s="16"/>
      <c r="J499" s="16"/>
      <c r="K499" s="16"/>
      <c r="L499" s="16"/>
      <c r="M499" s="536"/>
      <c r="N499" s="23"/>
    </row>
    <row r="500" ht="15" customHeight="1">
      <c r="B500" s="500"/>
      <c r="C500" s="281"/>
      <c r="D500" s="501"/>
      <c r="E500" s="501"/>
      <c r="F500" s="501"/>
      <c r="G500" s="501"/>
      <c r="H500" s="501"/>
      <c r="I500" s="502"/>
      <c r="J500" s="502"/>
      <c r="K500" s="502"/>
      <c r="L500" s="502"/>
      <c r="M500" s="502"/>
      <c r="N500" s="502"/>
    </row>
    <row r="501" ht="15" customHeight="1">
      <c r="B501" s="11"/>
      <c r="C501" s="12"/>
      <c r="D501" s="14"/>
      <c r="E501" s="14"/>
      <c r="F501" s="14"/>
      <c r="G501" s="14"/>
      <c r="H501" s="14"/>
      <c r="I501" s="16"/>
      <c r="J501" s="16"/>
      <c r="K501" s="16"/>
      <c r="L501" s="16"/>
      <c r="M501" s="16"/>
      <c r="N501" s="16"/>
    </row>
    <row r="502" ht="15" customHeight="1">
      <c r="B502" s="6" t="s">
        <v>324</v>
      </c>
      <c r="C502" s="7"/>
      <c r="D502" s="459"/>
      <c r="E502" s="459"/>
      <c r="F502" s="9"/>
      <c r="G502" s="9"/>
      <c r="H502" s="9"/>
      <c r="I502" s="460"/>
      <c r="J502" s="461"/>
      <c r="K502" s="461"/>
      <c r="L502" s="461"/>
      <c r="M502" s="461"/>
      <c r="N502" s="461"/>
    </row>
    <row r="503" ht="15" customHeight="1">
      <c r="B503" s="176"/>
      <c r="C503" s="12"/>
      <c r="D503" s="13"/>
      <c r="E503" s="23"/>
      <c r="F503" s="23"/>
      <c r="G503" s="23"/>
      <c r="H503" s="23"/>
      <c r="I503" s="23"/>
      <c r="J503" s="23"/>
      <c r="K503" s="23"/>
      <c r="L503" s="23"/>
      <c r="M503" s="23"/>
      <c r="N503" s="23"/>
    </row>
    <row r="504" ht="15" customHeight="1">
      <c r="B504" s="11" t="s">
        <v>3</v>
      </c>
      <c r="C504" s="12"/>
      <c r="D504" s="13"/>
      <c r="E504" s="13"/>
      <c r="F504" s="10"/>
      <c r="G504" s="10"/>
      <c r="H504" s="10"/>
      <c r="I504" s="10"/>
      <c r="J504" s="10"/>
      <c r="K504" s="10"/>
      <c r="L504" s="10"/>
      <c r="M504" s="10"/>
      <c r="N504" s="10"/>
    </row>
    <row r="505" ht="15" customHeight="1">
      <c r="B505" s="11" t="str">
        <f>$B$4</f>
        <v xml:space="preserve">Model Running: Base Case Drivers</v>
      </c>
      <c r="C505" s="23"/>
      <c r="D505" s="23"/>
      <c r="E505" s="13"/>
      <c r="F505" s="10"/>
      <c r="G505" s="10"/>
      <c r="H505" s="579" t="s">
        <v>130</v>
      </c>
      <c r="I505" s="580" t="s">
        <v>302</v>
      </c>
      <c r="J505" s="581"/>
      <c r="K505" s="581"/>
      <c r="L505" s="581"/>
      <c r="M505" s="581"/>
      <c r="N505" s="582" t="s">
        <v>31</v>
      </c>
    </row>
    <row r="506" ht="15" customHeight="1">
      <c r="B506" s="23"/>
      <c r="C506" s="23"/>
      <c r="D506" s="23"/>
      <c r="E506" s="14"/>
      <c r="F506" s="23"/>
      <c r="G506" s="23"/>
      <c r="H506" s="583" t="s">
        <v>117</v>
      </c>
      <c r="I506" s="583" t="s">
        <v>117</v>
      </c>
      <c r="J506" s="584" t="s">
        <v>117</v>
      </c>
      <c r="K506" s="584" t="s">
        <v>117</v>
      </c>
      <c r="L506" s="584" t="s">
        <v>117</v>
      </c>
      <c r="M506" s="584" t="s">
        <v>117</v>
      </c>
      <c r="N506" s="585" t="s">
        <v>117</v>
      </c>
    </row>
    <row r="507" ht="15" customHeight="1">
      <c r="B507" s="390" t="s">
        <v>29</v>
      </c>
      <c r="C507" s="608">
        <f>Inputs!F116</f>
        <v>7</v>
      </c>
      <c r="D507" s="23"/>
      <c r="E507" s="14"/>
      <c r="F507" s="587" t="s">
        <v>304</v>
      </c>
      <c r="G507" s="23"/>
      <c r="H507" s="588">
        <f>Inputs!F102</f>
        <v>45016</v>
      </c>
      <c r="I507" s="588">
        <f>Inputs!F104</f>
        <v>45291</v>
      </c>
      <c r="J507" s="589">
        <f t="shared" ref="J507:N508" si="233">EDATE(I507,12)</f>
        <v>45657</v>
      </c>
      <c r="K507" s="589">
        <f t="shared" ref="K507:N507" si="234">EDATE(J507,12)</f>
        <v>46022</v>
      </c>
      <c r="L507" s="589">
        <f t="shared" si="234"/>
        <v>46387</v>
      </c>
      <c r="M507" s="589">
        <f t="shared" si="234"/>
        <v>46752</v>
      </c>
      <c r="N507" s="590">
        <f t="shared" si="234"/>
        <v>47118</v>
      </c>
    </row>
    <row r="508" ht="15" customHeight="1">
      <c r="B508" s="408" t="s">
        <v>14</v>
      </c>
      <c r="C508" s="591">
        <f>C461</f>
        <v>0.095866057127655321</v>
      </c>
      <c r="D508" s="13"/>
      <c r="E508" s="14"/>
      <c r="F508" s="587" t="s">
        <v>305</v>
      </c>
      <c r="G508" s="23"/>
      <c r="H508" s="588">
        <f>H507</f>
        <v>45016</v>
      </c>
      <c r="I508" s="588">
        <f>Inputs!F103</f>
        <v>45107</v>
      </c>
      <c r="J508" s="589">
        <f t="shared" si="233"/>
        <v>45473</v>
      </c>
      <c r="K508" s="589">
        <f t="shared" si="233"/>
        <v>45838</v>
      </c>
      <c r="L508" s="589">
        <f t="shared" si="233"/>
        <v>46203</v>
      </c>
      <c r="M508" s="589">
        <f t="shared" si="233"/>
        <v>46568</v>
      </c>
      <c r="N508" s="592">
        <f t="shared" si="233"/>
        <v>46934</v>
      </c>
    </row>
    <row r="509" ht="15" customHeight="1">
      <c r="B509" s="176"/>
      <c r="C509" s="12"/>
      <c r="D509" s="13"/>
      <c r="E509" s="13"/>
      <c r="F509" s="10"/>
      <c r="G509" s="10"/>
      <c r="H509" s="593"/>
      <c r="I509" s="593"/>
      <c r="J509" s="593"/>
      <c r="K509" s="593"/>
      <c r="L509" s="593"/>
      <c r="M509" s="593"/>
      <c r="N509" s="593"/>
    </row>
    <row r="510" ht="15" customHeight="1">
      <c r="B510" s="73" t="s">
        <v>293</v>
      </c>
      <c r="C510" s="541"/>
      <c r="D510" s="14"/>
      <c r="E510" s="14"/>
      <c r="F510" s="289"/>
      <c r="G510" s="289"/>
      <c r="H510" s="609"/>
      <c r="I510" s="463">
        <f t="shared" ref="I510:N510" si="235">I$444</f>
        <v>9819.6608674657527</v>
      </c>
      <c r="J510" s="463">
        <f t="shared" si="235"/>
        <v>11491.026436417727</v>
      </c>
      <c r="K510" s="463">
        <f t="shared" si="235"/>
        <v>7948.0250767165098</v>
      </c>
      <c r="L510" s="463">
        <f t="shared" si="235"/>
        <v>11917.101046292346</v>
      </c>
      <c r="M510" s="463">
        <f t="shared" si="235"/>
        <v>11775.828791650814</v>
      </c>
      <c r="N510" s="610">
        <f t="shared" si="235"/>
        <v>10768.459403336401</v>
      </c>
    </row>
    <row r="511" ht="15" customHeight="1">
      <c r="B511" s="73" t="s">
        <v>165</v>
      </c>
      <c r="C511" s="541"/>
      <c r="D511" s="14"/>
      <c r="E511" s="14"/>
      <c r="F511" s="289"/>
      <c r="G511" s="289"/>
      <c r="H511" s="611"/>
      <c r="I511" s="545"/>
      <c r="J511" s="545"/>
      <c r="K511" s="545"/>
      <c r="L511" s="545"/>
      <c r="M511" s="612"/>
      <c r="N511" s="613">
        <f>N26</f>
        <v>20193.421543712564</v>
      </c>
    </row>
    <row r="512" ht="15" customHeight="1"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</row>
    <row r="513" ht="15" customHeight="1">
      <c r="B513" s="61" t="s">
        <v>306</v>
      </c>
      <c r="C513" s="23"/>
      <c r="D513" s="23"/>
      <c r="E513" s="14"/>
    </row>
    <row r="514" ht="15" customHeight="1">
      <c r="B514" s="284" t="s">
        <v>302</v>
      </c>
      <c r="C514" s="23"/>
      <c r="D514" s="595"/>
      <c r="E514" s="14"/>
      <c r="F514" s="614" t="s">
        <v>325</v>
      </c>
      <c r="G514" s="289"/>
      <c r="H514" s="410">
        <v>0</v>
      </c>
      <c r="I514" s="411">
        <f>I510</f>
        <v>9819.6608674657527</v>
      </c>
      <c r="J514" s="411">
        <f t="shared" ref="J514:N514" si="236">J510</f>
        <v>11491.026436417727</v>
      </c>
      <c r="K514" s="411">
        <f t="shared" si="236"/>
        <v>7948.0250767165098</v>
      </c>
      <c r="L514" s="411">
        <f t="shared" si="236"/>
        <v>11917.101046292346</v>
      </c>
      <c r="M514" s="411">
        <f t="shared" si="236"/>
        <v>11775.828791650814</v>
      </c>
      <c r="N514" s="411">
        <f t="shared" si="236"/>
        <v>10768.459403336401</v>
      </c>
    </row>
    <row r="515" ht="15" customHeight="1">
      <c r="B515" s="284" t="s">
        <v>326</v>
      </c>
      <c r="C515" s="23"/>
      <c r="D515" s="14"/>
      <c r="E515" s="14"/>
      <c r="F515" s="615" t="s">
        <v>327</v>
      </c>
      <c r="G515" s="289"/>
      <c r="H515" s="412">
        <v>0</v>
      </c>
      <c r="I515" s="412">
        <v>0</v>
      </c>
      <c r="J515" s="412">
        <v>0</v>
      </c>
      <c r="K515" s="412">
        <v>0</v>
      </c>
      <c r="L515" s="412">
        <v>0</v>
      </c>
      <c r="M515" s="412">
        <v>0</v>
      </c>
      <c r="N515" s="413">
        <f>(N511*C507)/(1+C508)^F516</f>
        <v>135029.67229503315</v>
      </c>
    </row>
    <row r="516" ht="15" customHeight="1">
      <c r="B516" s="284" t="s">
        <v>308</v>
      </c>
      <c r="C516" s="23"/>
      <c r="D516" s="569"/>
      <c r="E516" s="569"/>
      <c r="F516" s="616">
        <f>YEARFRAC(N508,N507)</f>
        <v>0.5</v>
      </c>
      <c r="G516" s="550">
        <f>'Model-R'!W422</f>
        <v>1</v>
      </c>
      <c r="H516" s="411">
        <f t="shared" ref="H516:N530" si="237">SUM(H514:H515)</f>
        <v>0</v>
      </c>
      <c r="I516" s="411">
        <f>SUM(I514:I515)</f>
        <v>9819.6608674657527</v>
      </c>
      <c r="J516" s="411">
        <f t="shared" ref="J516:N516" si="238">SUM(J514:J515)</f>
        <v>11491.026436417727</v>
      </c>
      <c r="K516" s="411">
        <f t="shared" si="238"/>
        <v>7948.0250767165098</v>
      </c>
      <c r="L516" s="411">
        <f t="shared" si="238"/>
        <v>11917.101046292346</v>
      </c>
      <c r="M516" s="411">
        <f t="shared" si="238"/>
        <v>11775.828791650814</v>
      </c>
      <c r="N516" s="411">
        <f t="shared" si="238"/>
        <v>145798.13169836954</v>
      </c>
    </row>
    <row r="517" ht="15" customHeight="1">
      <c r="B517" s="61"/>
      <c r="C517" s="23"/>
      <c r="D517" s="14"/>
      <c r="E517" s="14"/>
      <c r="F517" s="570"/>
      <c r="G517" s="570"/>
      <c r="H517" s="570"/>
      <c r="I517" s="570"/>
      <c r="J517" s="570"/>
      <c r="K517" s="570"/>
      <c r="L517" s="570"/>
    </row>
    <row r="518" ht="15" customHeight="1">
      <c r="B518" s="61" t="s">
        <v>309</v>
      </c>
      <c r="C518" s="23"/>
      <c r="D518" s="14"/>
      <c r="E518" s="14"/>
      <c r="F518" s="570"/>
      <c r="G518" s="570"/>
      <c r="H518" s="410"/>
      <c r="I518" s="597"/>
      <c r="J518" s="597"/>
      <c r="K518" s="597"/>
      <c r="L518" s="597"/>
      <c r="M518" s="597"/>
      <c r="N518" s="597"/>
    </row>
    <row r="519" ht="15" customHeight="1">
      <c r="B519" s="284" t="s">
        <v>310</v>
      </c>
      <c r="C519" s="23"/>
      <c r="D519" s="14"/>
      <c r="E519" s="14"/>
      <c r="F519" s="570"/>
      <c r="G519" s="570"/>
      <c r="H519" s="410">
        <v>0</v>
      </c>
      <c r="I519" s="596">
        <f>YEARFRAC(I507,H507)</f>
        <v>0.75</v>
      </c>
      <c r="J519" s="596">
        <f t="shared" ref="J519:N519" si="239">YEARFRAC(J507,I507)</f>
        <v>1</v>
      </c>
      <c r="K519" s="596">
        <f t="shared" si="239"/>
        <v>1</v>
      </c>
      <c r="L519" s="596">
        <f t="shared" si="239"/>
        <v>1</v>
      </c>
      <c r="M519" s="596">
        <f t="shared" si="239"/>
        <v>1</v>
      </c>
      <c r="N519" s="596">
        <f t="shared" si="239"/>
        <v>1</v>
      </c>
    </row>
    <row r="520" ht="15" customHeight="1">
      <c r="B520" s="284"/>
      <c r="C520" s="23"/>
      <c r="D520" s="14"/>
      <c r="E520" s="14"/>
      <c r="F520" s="570"/>
      <c r="G520" s="570"/>
      <c r="H520" s="410"/>
      <c r="I520" s="597"/>
      <c r="J520" s="597"/>
      <c r="K520" s="597"/>
      <c r="L520" s="597"/>
      <c r="M520" s="597"/>
      <c r="N520" s="597"/>
    </row>
    <row r="521" ht="15" customHeight="1">
      <c r="B521" s="284" t="s">
        <v>302</v>
      </c>
      <c r="C521" s="23"/>
      <c r="D521" s="14"/>
      <c r="E521" s="14"/>
      <c r="F521" s="570"/>
      <c r="G521" s="570"/>
      <c r="H521" s="410">
        <v>0</v>
      </c>
      <c r="I521" s="411">
        <f t="shared" ref="I521:N522" si="240">I514*I$519</f>
        <v>7364.7456505993141</v>
      </c>
      <c r="J521" s="411">
        <f t="shared" si="240"/>
        <v>11491.026436417727</v>
      </c>
      <c r="K521" s="411">
        <f t="shared" si="240"/>
        <v>7948.0250767165098</v>
      </c>
      <c r="L521" s="411">
        <f t="shared" si="240"/>
        <v>11917.101046292346</v>
      </c>
      <c r="M521" s="411">
        <f t="shared" si="240"/>
        <v>11775.828791650814</v>
      </c>
      <c r="N521" s="411">
        <f t="shared" si="240"/>
        <v>10768.459403336401</v>
      </c>
    </row>
    <row r="522" ht="15" customHeight="1">
      <c r="B522" s="284" t="s">
        <v>307</v>
      </c>
      <c r="C522" s="23"/>
      <c r="D522" s="14"/>
      <c r="E522" s="14"/>
      <c r="F522" s="570"/>
      <c r="G522" s="570"/>
      <c r="H522" s="412">
        <v>0</v>
      </c>
      <c r="I522" s="413">
        <f t="shared" si="240"/>
        <v>0</v>
      </c>
      <c r="J522" s="413">
        <f t="shared" si="240"/>
        <v>0</v>
      </c>
      <c r="K522" s="413">
        <f t="shared" si="240"/>
        <v>0</v>
      </c>
      <c r="L522" s="413">
        <f t="shared" si="240"/>
        <v>0</v>
      </c>
      <c r="M522" s="413">
        <f t="shared" si="240"/>
        <v>0</v>
      </c>
      <c r="N522" s="413">
        <f t="shared" si="240"/>
        <v>135029.67229503315</v>
      </c>
    </row>
    <row r="523" ht="15" customHeight="1">
      <c r="B523" s="284" t="s">
        <v>308</v>
      </c>
      <c r="C523" s="23"/>
      <c r="D523" s="14"/>
      <c r="E523" s="14"/>
      <c r="F523" s="570"/>
      <c r="G523" s="570"/>
      <c r="H523" s="411">
        <f t="shared" si="237"/>
        <v>0</v>
      </c>
      <c r="I523" s="411">
        <f t="shared" si="237"/>
        <v>7364.7456505993141</v>
      </c>
      <c r="J523" s="411">
        <f t="shared" si="237"/>
        <v>11491.026436417727</v>
      </c>
      <c r="K523" s="411">
        <f t="shared" si="237"/>
        <v>7948.0250767165098</v>
      </c>
      <c r="L523" s="411">
        <f t="shared" si="237"/>
        <v>11917.101046292346</v>
      </c>
      <c r="M523" s="411">
        <f t="shared" si="237"/>
        <v>11775.828791650814</v>
      </c>
      <c r="N523" s="411">
        <f t="shared" si="237"/>
        <v>145798.13169836954</v>
      </c>
    </row>
    <row r="524" ht="15" customHeight="1">
      <c r="B524" s="284"/>
      <c r="C524" s="23"/>
      <c r="D524" s="14"/>
      <c r="E524" s="14"/>
      <c r="F524" s="570"/>
      <c r="G524" s="570"/>
      <c r="H524" s="410"/>
      <c r="I524" s="597"/>
      <c r="J524" s="597"/>
      <c r="K524" s="597"/>
      <c r="L524" s="597"/>
      <c r="M524" s="597"/>
      <c r="N524" s="597"/>
    </row>
    <row r="525" ht="15" customHeight="1">
      <c r="B525" s="61" t="s">
        <v>311</v>
      </c>
      <c r="C525" s="23"/>
      <c r="D525" s="14"/>
      <c r="E525" s="14"/>
      <c r="F525" s="570"/>
      <c r="G525" s="570"/>
      <c r="H525" s="410"/>
      <c r="I525" s="597"/>
      <c r="J525" s="597"/>
      <c r="K525" s="597"/>
      <c r="L525" s="597"/>
      <c r="M525" s="597"/>
      <c r="N525" s="597"/>
    </row>
    <row r="526" ht="15" customHeight="1">
      <c r="B526" s="284" t="s">
        <v>312</v>
      </c>
      <c r="C526" s="23"/>
      <c r="D526" s="14"/>
      <c r="E526" s="14"/>
      <c r="F526" s="570"/>
      <c r="G526" s="570"/>
      <c r="H526" s="278">
        <v>0</v>
      </c>
      <c r="I526" s="598">
        <f t="shared" ref="I526:N526" si="241">H526+YEARFRAC(H508,I508)</f>
        <v>0.25</v>
      </c>
      <c r="J526" s="598">
        <f t="shared" si="241"/>
        <v>1.25</v>
      </c>
      <c r="K526" s="598">
        <f t="shared" si="241"/>
        <v>2.25</v>
      </c>
      <c r="L526" s="598">
        <f t="shared" si="241"/>
        <v>3.25</v>
      </c>
      <c r="M526" s="598">
        <f t="shared" si="241"/>
        <v>4.25</v>
      </c>
      <c r="N526" s="598">
        <f t="shared" si="241"/>
        <v>5.25</v>
      </c>
    </row>
    <row r="527" ht="15" customHeight="1">
      <c r="B527" s="284"/>
      <c r="C527" s="23"/>
      <c r="D527" s="14"/>
      <c r="E527" s="14"/>
      <c r="F527" s="570"/>
      <c r="G527" s="570"/>
      <c r="H527" s="278"/>
      <c r="I527" s="279"/>
      <c r="J527" s="279"/>
      <c r="K527" s="279"/>
      <c r="L527" s="279"/>
      <c r="M527" s="279"/>
      <c r="N527" s="279"/>
    </row>
    <row r="528" ht="15" customHeight="1">
      <c r="B528" s="284" t="s">
        <v>302</v>
      </c>
      <c r="C528" s="23"/>
      <c r="D528" s="14"/>
      <c r="E528" s="14"/>
      <c r="F528" s="570"/>
      <c r="G528" s="570"/>
      <c r="H528" s="400">
        <v>0</v>
      </c>
      <c r="I528" s="465">
        <f t="shared" ref="I528:N529" si="242">I521/(1+$C$508)^I$526</f>
        <v>7198.108418375462</v>
      </c>
      <c r="J528" s="465">
        <f t="shared" si="242"/>
        <v>10248.539502620039</v>
      </c>
      <c r="K528" s="465">
        <f t="shared" si="242"/>
        <v>6468.5197547612315</v>
      </c>
      <c r="L528" s="465">
        <f t="shared" si="242"/>
        <v>8850.3169985200966</v>
      </c>
      <c r="M528" s="465">
        <f t="shared" si="242"/>
        <v>7980.3550176247445</v>
      </c>
      <c r="N528" s="465">
        <f t="shared" si="242"/>
        <v>6659.2731443393686</v>
      </c>
    </row>
    <row r="529" ht="15" customHeight="1">
      <c r="B529" s="284" t="s">
        <v>307</v>
      </c>
      <c r="C529" s="23"/>
      <c r="D529" s="14"/>
      <c r="E529" s="14"/>
      <c r="F529" s="570"/>
      <c r="G529" s="570"/>
      <c r="H529" s="612">
        <v>0</v>
      </c>
      <c r="I529" s="472">
        <f t="shared" si="242"/>
        <v>0</v>
      </c>
      <c r="J529" s="472">
        <f t="shared" si="242"/>
        <v>0</v>
      </c>
      <c r="K529" s="472">
        <f t="shared" si="242"/>
        <v>0</v>
      </c>
      <c r="L529" s="472">
        <f t="shared" si="242"/>
        <v>0</v>
      </c>
      <c r="M529" s="472">
        <f t="shared" si="242"/>
        <v>0</v>
      </c>
      <c r="N529" s="472">
        <f t="shared" si="242"/>
        <v>83503.074741096221</v>
      </c>
    </row>
    <row r="530" ht="15" customHeight="1">
      <c r="B530" s="284" t="s">
        <v>308</v>
      </c>
      <c r="C530" s="23"/>
      <c r="D530" s="14"/>
      <c r="E530" s="14"/>
      <c r="F530" s="570"/>
      <c r="G530" s="570"/>
      <c r="H530" s="411">
        <f t="shared" si="237"/>
        <v>0</v>
      </c>
      <c r="I530" s="411">
        <f t="shared" si="237"/>
        <v>7198.108418375462</v>
      </c>
      <c r="J530" s="411">
        <f t="shared" si="237"/>
        <v>10248.539502620039</v>
      </c>
      <c r="K530" s="411">
        <f t="shared" si="237"/>
        <v>6468.5197547612315</v>
      </c>
      <c r="L530" s="411">
        <f t="shared" si="237"/>
        <v>8850.3169985200966</v>
      </c>
      <c r="M530" s="411">
        <f t="shared" si="237"/>
        <v>7980.3550176247445</v>
      </c>
      <c r="N530" s="411">
        <f t="shared" si="237"/>
        <v>90162.347885435593</v>
      </c>
    </row>
    <row r="531" ht="15" customHeight="1">
      <c r="B531" s="284"/>
      <c r="C531" s="23"/>
      <c r="D531" s="14"/>
      <c r="E531" s="14"/>
      <c r="F531" s="570"/>
      <c r="G531" s="570"/>
      <c r="H531" s="410"/>
      <c r="I531" s="597"/>
      <c r="J531" s="597"/>
      <c r="K531" s="597"/>
      <c r="L531" s="597"/>
      <c r="M531" s="597"/>
      <c r="N531" s="597"/>
    </row>
    <row r="532" ht="15" customHeight="1">
      <c r="B532" s="284"/>
      <c r="C532" s="23"/>
      <c r="D532" s="569"/>
      <c r="E532" s="569"/>
      <c r="F532" s="289"/>
      <c r="G532" s="289"/>
      <c r="H532" s="424"/>
      <c r="I532" s="424"/>
      <c r="J532" s="424"/>
      <c r="K532" s="424"/>
      <c r="L532" s="424"/>
      <c r="M532" s="424"/>
      <c r="N532" s="424"/>
    </row>
    <row r="533" ht="15" customHeight="1">
      <c r="B533" s="61"/>
      <c r="C533" s="23"/>
      <c r="D533" s="14"/>
      <c r="E533" s="14"/>
      <c r="F533" s="61" t="s">
        <v>313</v>
      </c>
      <c r="G533" s="37"/>
      <c r="H533" s="441"/>
      <c r="I533" s="289"/>
      <c r="J533" s="61" t="s">
        <v>313</v>
      </c>
      <c r="K533" s="599"/>
      <c r="L533" s="4"/>
      <c r="M533" s="4"/>
      <c r="N533" s="289"/>
    </row>
    <row r="534" ht="15" customHeight="1">
      <c r="B534" s="284"/>
      <c r="C534" s="23"/>
      <c r="D534" s="14"/>
      <c r="E534" s="14"/>
      <c r="F534" s="600" t="s">
        <v>314</v>
      </c>
      <c r="G534" s="486"/>
      <c r="H534" s="391">
        <f>SUM(I530:N530)</f>
        <v>130908.18757733717</v>
      </c>
      <c r="I534" s="550">
        <f>'Model-R'!S440</f>
        <v>1</v>
      </c>
      <c r="J534" s="600" t="s">
        <v>315</v>
      </c>
      <c r="K534" s="601"/>
      <c r="L534" s="617">
        <f t="shared" ref="L534:L536" si="243">M534/$M$536</f>
        <v>0.36212488854629682</v>
      </c>
      <c r="M534" s="391">
        <f t="shared" ref="M534:M535" si="244">SUM(I528:N528)</f>
        <v>47405.112836240944</v>
      </c>
      <c r="N534" s="30"/>
    </row>
    <row r="535" ht="15" customHeight="1">
      <c r="B535" s="284"/>
      <c r="D535" s="569"/>
      <c r="E535" s="569"/>
      <c r="F535" s="603" t="s">
        <v>328</v>
      </c>
      <c r="G535" s="134"/>
      <c r="H535" s="468">
        <f>XNPV(C508,H523:N523,H508:N508)</f>
        <v>130862.76413287796</v>
      </c>
      <c r="I535" s="550">
        <f>'Model-R'!S441</f>
        <v>1</v>
      </c>
      <c r="J535" s="604" t="s">
        <v>317</v>
      </c>
      <c r="K535" s="4"/>
      <c r="L535" s="618">
        <f t="shared" si="243"/>
        <v>0.63787511145370313</v>
      </c>
      <c r="M535" s="468">
        <f t="shared" si="244"/>
        <v>83503.074741096221</v>
      </c>
      <c r="N535" s="30"/>
    </row>
    <row r="536" ht="15" customHeight="1">
      <c r="J536" s="603" t="s">
        <v>318</v>
      </c>
      <c r="K536" s="282"/>
      <c r="L536" s="618">
        <f t="shared" si="243"/>
        <v>1</v>
      </c>
      <c r="M536" s="468">
        <f>SUM(M534:M535)</f>
        <v>130908.18757733717</v>
      </c>
    </row>
    <row r="539" ht="15" customHeight="1">
      <c r="F539" s="61" t="s">
        <v>319</v>
      </c>
      <c r="G539" s="289"/>
      <c r="J539" s="61" t="s">
        <v>320</v>
      </c>
      <c r="K539" s="289"/>
    </row>
    <row r="540" ht="15" customHeight="1">
      <c r="F540" s="600" t="s">
        <v>318</v>
      </c>
      <c r="G540" s="619"/>
      <c r="H540" s="391">
        <f>H535</f>
        <v>130862.76413287796</v>
      </c>
      <c r="J540" s="600" t="s">
        <v>25</v>
      </c>
      <c r="K540" s="619"/>
      <c r="L540" s="619"/>
      <c r="M540" s="391">
        <f>H542</f>
        <v>112220.76413287796</v>
      </c>
    </row>
    <row r="541" ht="15" customHeight="1">
      <c r="F541" s="604" t="s">
        <v>321</v>
      </c>
      <c r="H541" s="468">
        <f>-Inputs!L102</f>
        <v>-18642</v>
      </c>
      <c r="J541" s="604" t="s">
        <v>18</v>
      </c>
      <c r="L541" s="605" t="s">
        <v>19</v>
      </c>
      <c r="M541" s="468">
        <f>Inputs!F113</f>
        <v>34200</v>
      </c>
    </row>
    <row r="542" ht="15" customHeight="1">
      <c r="F542" s="603" t="s">
        <v>25</v>
      </c>
      <c r="G542" s="134"/>
      <c r="H542" s="468">
        <f>SUM(H540:H541)</f>
        <v>112220.76413287796</v>
      </c>
      <c r="J542" s="603" t="s">
        <v>25</v>
      </c>
      <c r="K542" s="134"/>
      <c r="L542" s="620" t="s">
        <v>322</v>
      </c>
      <c r="M542" s="621">
        <f>M540/M541</f>
        <v>3.2813088927742093</v>
      </c>
    </row>
    <row r="543" ht="15" customHeight="1">
      <c r="C543" s="289"/>
    </row>
    <row r="544" ht="15" customHeight="1">
      <c r="B544" s="23"/>
      <c r="C544" s="12"/>
      <c r="D544" s="14"/>
      <c r="E544" s="14"/>
      <c r="F544" s="14"/>
      <c r="G544" s="14"/>
      <c r="H544" s="14"/>
      <c r="I544" s="16"/>
      <c r="J544" s="16"/>
      <c r="K544" s="16"/>
      <c r="L544" s="16"/>
      <c r="M544" s="132" t="s">
        <v>329</v>
      </c>
      <c r="N544" s="23"/>
    </row>
    <row r="545" ht="15" customHeight="1">
      <c r="B545" s="426" t="str">
        <f>'Model-R'!S448</f>
        <v>COMPLETE</v>
      </c>
      <c r="C545" s="12"/>
      <c r="D545" s="14"/>
      <c r="E545" s="14"/>
      <c r="F545" s="14"/>
      <c r="G545" s="14"/>
      <c r="H545" s="14"/>
      <c r="I545" s="16"/>
      <c r="J545" s="16"/>
      <c r="K545" s="16"/>
      <c r="L545" s="16"/>
      <c r="M545" s="535" t="s">
        <v>330</v>
      </c>
      <c r="N545" s="23"/>
    </row>
    <row r="546" ht="15" customHeight="1">
      <c r="B546" s="23"/>
      <c r="C546" s="12"/>
      <c r="D546" s="14"/>
      <c r="E546" s="14"/>
      <c r="F546" s="14"/>
      <c r="G546" s="14"/>
      <c r="H546" s="14"/>
      <c r="I546" s="16"/>
      <c r="J546" s="16"/>
      <c r="K546" s="16"/>
      <c r="L546" s="16"/>
      <c r="M546" s="23"/>
      <c r="N546" s="23"/>
    </row>
    <row r="547" ht="15" customHeight="1">
      <c r="B547" s="500"/>
      <c r="C547" s="281"/>
      <c r="D547" s="501"/>
      <c r="E547" s="501"/>
      <c r="F547" s="501"/>
      <c r="G547" s="501"/>
      <c r="H547" s="501"/>
      <c r="I547" s="502"/>
      <c r="J547" s="502"/>
      <c r="K547" s="502"/>
      <c r="L547" s="502"/>
      <c r="M547" s="502"/>
      <c r="N547" s="502" t="s">
        <v>0</v>
      </c>
    </row>
    <row r="549" ht="15" customHeight="1">
      <c r="B549" s="434" t="s">
        <v>331</v>
      </c>
      <c r="C549" s="435"/>
      <c r="D549" s="622"/>
      <c r="E549" s="622"/>
      <c r="F549" s="437"/>
      <c r="G549" s="437"/>
      <c r="H549" s="437"/>
      <c r="I549" s="623"/>
      <c r="J549" s="624"/>
      <c r="K549" s="624"/>
      <c r="L549" s="624"/>
      <c r="M549" s="624"/>
    </row>
    <row r="550" ht="15" customHeight="1">
      <c r="B550" s="625"/>
      <c r="H550" s="626"/>
      <c r="I550" s="627"/>
      <c r="J550" s="627"/>
      <c r="K550" s="627"/>
      <c r="L550" s="627"/>
      <c r="M550" s="627"/>
    </row>
    <row r="551" ht="15" customHeight="1">
      <c r="B551" s="11" t="s">
        <v>3</v>
      </c>
      <c r="H551" s="626"/>
      <c r="I551" s="627"/>
      <c r="J551" s="627"/>
      <c r="K551" s="627"/>
      <c r="L551" s="627"/>
      <c r="M551" s="627"/>
    </row>
    <row r="552" ht="15" customHeight="1">
      <c r="F552" s="388">
        <f t="shared" ref="F552:N615" si="245">F$3</f>
        <v>2020</v>
      </c>
      <c r="G552" s="388">
        <f t="shared" si="245"/>
        <v>2021</v>
      </c>
      <c r="H552" s="388">
        <f t="shared" si="245"/>
        <v>2022</v>
      </c>
      <c r="I552" s="389">
        <f t="shared" si="245"/>
        <v>2023</v>
      </c>
      <c r="J552" s="389">
        <f t="shared" si="245"/>
        <v>2024</v>
      </c>
      <c r="K552" s="389">
        <f t="shared" si="245"/>
        <v>2025</v>
      </c>
      <c r="L552" s="389">
        <f t="shared" si="245"/>
        <v>2026</v>
      </c>
      <c r="M552" s="389">
        <f t="shared" si="245"/>
        <v>2027</v>
      </c>
      <c r="N552" s="177" t="str">
        <f t="shared" si="245"/>
        <v>Term</v>
      </c>
    </row>
    <row r="553" ht="15" customHeight="1">
      <c r="B553" s="306" t="s">
        <v>332</v>
      </c>
      <c r="C553" s="307"/>
      <c r="D553" s="307"/>
      <c r="E553" s="307"/>
      <c r="F553" s="307"/>
      <c r="G553" s="307"/>
      <c r="H553" s="628"/>
      <c r="I553" s="307"/>
      <c r="J553" s="629"/>
      <c r="K553" s="629"/>
      <c r="L553" s="629"/>
      <c r="M553" s="629"/>
      <c r="N553" s="307"/>
    </row>
    <row r="554" ht="15" customHeight="1">
      <c r="B554" s="630" t="s">
        <v>175</v>
      </c>
      <c r="C554" s="307"/>
      <c r="D554" s="307"/>
      <c r="E554" s="307"/>
      <c r="F554" s="307"/>
      <c r="G554" s="307"/>
      <c r="H554" s="631">
        <f>H40</f>
        <v>11190.448499999999</v>
      </c>
      <c r="I554" s="631">
        <f t="shared" ref="I554:M554" si="246">I40</f>
        <v>10685.405578874999</v>
      </c>
      <c r="J554" s="631">
        <f t="shared" si="246"/>
        <v>10542.839122013935</v>
      </c>
      <c r="K554" s="631">
        <f t="shared" si="246"/>
        <v>10407.175021901636</v>
      </c>
      <c r="L554" s="631">
        <f t="shared" si="246"/>
        <v>10224.359902668235</v>
      </c>
      <c r="M554" s="631">
        <f t="shared" si="246"/>
        <v>10154.813937669864</v>
      </c>
      <c r="N554" s="307"/>
    </row>
    <row r="555" ht="15" customHeight="1">
      <c r="B555" s="630" t="s">
        <v>167</v>
      </c>
      <c r="C555" s="307"/>
      <c r="D555" s="307"/>
      <c r="E555" s="307"/>
      <c r="F555" s="307"/>
      <c r="G555" s="307"/>
      <c r="H555" s="631">
        <f>H29*-1</f>
        <v>3452</v>
      </c>
      <c r="I555" s="631">
        <f t="shared" ref="I555:M555" si="247">I29*-1</f>
        <v>4962.9375</v>
      </c>
      <c r="J555" s="631">
        <f t="shared" si="247"/>
        <v>5412.9375</v>
      </c>
      <c r="K555" s="631">
        <f t="shared" si="247"/>
        <v>5837.9375</v>
      </c>
      <c r="L555" s="631">
        <f t="shared" si="247"/>
        <v>6187.9375</v>
      </c>
      <c r="M555" s="631">
        <f t="shared" si="247"/>
        <v>6437.9375</v>
      </c>
      <c r="N555" s="307"/>
    </row>
    <row r="556" ht="15" customHeight="1">
      <c r="B556" s="630" t="s">
        <v>333</v>
      </c>
      <c r="C556" s="307"/>
      <c r="D556" s="307"/>
      <c r="E556" s="307"/>
      <c r="F556" s="307"/>
      <c r="G556" s="307"/>
      <c r="H556" s="631">
        <f>SUM(H32:H33)*-1</f>
        <v>2157</v>
      </c>
      <c r="I556" s="631">
        <f t="shared" ref="I556:M556" si="248">SUM(I32:I33)*-1</f>
        <v>1025.900009</v>
      </c>
      <c r="J556" s="631">
        <f t="shared" si="248"/>
        <v>819.3332115730924</v>
      </c>
      <c r="K556" s="631">
        <f t="shared" si="248"/>
        <v>619.08887451724127</v>
      </c>
      <c r="L556" s="631">
        <f t="shared" si="248"/>
        <v>445.06614035275874</v>
      </c>
      <c r="M556" s="631">
        <f t="shared" si="248"/>
        <v>209.68184574781742</v>
      </c>
      <c r="N556" s="307"/>
    </row>
    <row r="557" ht="15" customHeight="1">
      <c r="B557" s="630" t="s">
        <v>101</v>
      </c>
      <c r="C557" s="307"/>
      <c r="D557" s="307"/>
      <c r="E557" s="307"/>
      <c r="F557" s="632"/>
      <c r="G557" s="632"/>
      <c r="H557" s="633">
        <f>$C$17</f>
        <v>0.25</v>
      </c>
      <c r="I557" s="633">
        <f t="shared" ref="I557:M557" si="249">$C$17</f>
        <v>0.25</v>
      </c>
      <c r="J557" s="633">
        <f t="shared" si="249"/>
        <v>0.25</v>
      </c>
      <c r="K557" s="633">
        <f t="shared" si="249"/>
        <v>0.25</v>
      </c>
      <c r="L557" s="633">
        <f t="shared" si="249"/>
        <v>0.25</v>
      </c>
      <c r="M557" s="633">
        <f t="shared" si="249"/>
        <v>0.25</v>
      </c>
      <c r="N557" s="307"/>
    </row>
    <row r="558" ht="15" customHeight="1">
      <c r="B558" s="630" t="s">
        <v>334</v>
      </c>
      <c r="C558" s="307"/>
      <c r="D558" s="307"/>
      <c r="E558" s="307"/>
      <c r="F558" s="307"/>
      <c r="G558" s="307"/>
      <c r="H558" s="631">
        <f>H556*(1-H557)</f>
        <v>1617.75</v>
      </c>
      <c r="I558" s="631">
        <f t="shared" ref="I558:M558" si="250">I556*(1-I557)</f>
        <v>769.42500674999997</v>
      </c>
      <c r="J558" s="631">
        <f t="shared" si="250"/>
        <v>614.49990867981933</v>
      </c>
      <c r="K558" s="631">
        <f t="shared" si="250"/>
        <v>464.31665588793095</v>
      </c>
      <c r="L558" s="631">
        <f>L556*(1-L557)</f>
        <v>333.79960526456904</v>
      </c>
      <c r="M558" s="631">
        <f t="shared" si="250"/>
        <v>157.26138431086306</v>
      </c>
      <c r="N558" s="307"/>
    </row>
    <row r="559" ht="15" customHeight="1">
      <c r="B559" s="630" t="s">
        <v>168</v>
      </c>
      <c r="C559" s="307"/>
      <c r="D559" s="307"/>
      <c r="E559" s="307"/>
      <c r="F559" s="307"/>
      <c r="G559" s="307"/>
      <c r="H559" s="631">
        <f>H30</f>
        <v>16359.448499999999</v>
      </c>
      <c r="I559" s="631">
        <f t="shared" ref="I559:M559" si="251">I30</f>
        <v>15273.107447499999</v>
      </c>
      <c r="J559" s="631">
        <f t="shared" si="251"/>
        <v>14876.452040925004</v>
      </c>
      <c r="K559" s="631">
        <f t="shared" si="251"/>
        <v>14495.322237052755</v>
      </c>
      <c r="L559" s="631">
        <f t="shared" si="251"/>
        <v>14077.546010577073</v>
      </c>
      <c r="M559" s="631">
        <f t="shared" si="251"/>
        <v>13749.433762640969</v>
      </c>
      <c r="N559" s="307"/>
    </row>
    <row r="560" ht="15" customHeight="1">
      <c r="B560" s="630" t="s">
        <v>335</v>
      </c>
      <c r="C560" s="307"/>
      <c r="D560" s="307"/>
      <c r="E560" s="307"/>
      <c r="F560" s="307"/>
      <c r="G560" s="307"/>
      <c r="H560" s="631">
        <f>H559*H557*-1</f>
        <v>-4089.8621249999997</v>
      </c>
      <c r="I560" s="631">
        <f t="shared" ref="I560:M560" si="252">I559*I557*-1</f>
        <v>-3818.2768618749997</v>
      </c>
      <c r="J560" s="631">
        <f t="shared" si="252"/>
        <v>-3719.1130102312509</v>
      </c>
      <c r="K560" s="631">
        <f t="shared" si="252"/>
        <v>-3623.8305592631887</v>
      </c>
      <c r="L560" s="631">
        <f t="shared" si="252"/>
        <v>-3519.3865026442681</v>
      </c>
      <c r="M560" s="631">
        <f t="shared" si="252"/>
        <v>-3437.3584406602422</v>
      </c>
      <c r="N560" s="307"/>
    </row>
    <row r="561" ht="15" customHeight="1">
      <c r="B561" s="630" t="s">
        <v>173</v>
      </c>
      <c r="C561" s="307"/>
      <c r="D561" s="307"/>
      <c r="E561" s="307"/>
      <c r="F561" s="307"/>
      <c r="G561" s="307"/>
      <c r="H561" s="631"/>
      <c r="I561" s="631">
        <f>I406</f>
        <v>3818.2768618749997</v>
      </c>
      <c r="J561" s="631">
        <f t="shared" ref="J561:M561" si="253">J406</f>
        <v>3024.3925131250003</v>
      </c>
      <c r="K561" s="631">
        <f t="shared" si="253"/>
        <v>343.98240625000017</v>
      </c>
      <c r="L561" s="631">
        <f t="shared" si="253"/>
        <v>248.46238906249982</v>
      </c>
      <c r="M561" s="631">
        <f t="shared" si="253"/>
        <v>104.14537445312499</v>
      </c>
      <c r="N561" s="307"/>
    </row>
    <row r="562" ht="15" customHeight="1">
      <c r="B562" s="630" t="s">
        <v>165</v>
      </c>
      <c r="C562" s="307"/>
      <c r="D562" s="307"/>
      <c r="E562" s="307"/>
      <c r="F562" s="307"/>
      <c r="G562" s="307"/>
      <c r="H562" s="631">
        <f>Model!H26</f>
        <v>19811.448499999999</v>
      </c>
      <c r="I562" s="631">
        <f>Model!I26</f>
        <v>20236.044947499999</v>
      </c>
      <c r="J562" s="631">
        <f>Model!J26</f>
        <v>20289.389540925004</v>
      </c>
      <c r="K562" s="631">
        <f>Model!K26</f>
        <v>20333.259737052755</v>
      </c>
      <c r="L562" s="631">
        <f>Model!L26</f>
        <v>20265.483510577073</v>
      </c>
      <c r="M562" s="631">
        <f>Model!M26</f>
        <v>20187.371262640969</v>
      </c>
      <c r="N562" s="307"/>
    </row>
    <row r="563" ht="15" customHeight="1">
      <c r="B563" s="630" t="s">
        <v>336</v>
      </c>
      <c r="C563" s="307"/>
      <c r="D563" s="307"/>
      <c r="E563" s="307"/>
      <c r="F563" s="307"/>
      <c r="G563" s="307"/>
      <c r="H563" s="631">
        <f>Model!H163*-1</f>
        <v>-11130</v>
      </c>
      <c r="I563" s="631">
        <f>Model!I163*-1</f>
        <v>-10000</v>
      </c>
      <c r="J563" s="631">
        <f>Model!J163*-1</f>
        <v>-8000</v>
      </c>
      <c r="K563" s="631">
        <f>Model!K163*-1</f>
        <v>-9000</v>
      </c>
      <c r="L563" s="631">
        <f>Model!L163*-1</f>
        <v>-5000</v>
      </c>
      <c r="M563" s="631">
        <f>Model!M163*-1</f>
        <v>-5000</v>
      </c>
      <c r="N563" s="307"/>
    </row>
    <row r="564" ht="15" customHeight="1">
      <c r="B564" s="630" t="s">
        <v>337</v>
      </c>
      <c r="C564" s="307"/>
      <c r="D564" s="307"/>
      <c r="E564" s="307"/>
      <c r="F564" s="307"/>
      <c r="G564" s="307"/>
      <c r="H564" s="631">
        <f t="shared" ref="H564:M564" si="254">H151</f>
        <v>-263</v>
      </c>
      <c r="I564" s="631">
        <f t="shared" si="254"/>
        <v>-416.38408003424593</v>
      </c>
      <c r="J564" s="631">
        <f t="shared" si="254"/>
        <v>-103.64260740102782</v>
      </c>
      <c r="K564" s="631">
        <f t="shared" si="254"/>
        <v>-105.38650732305814</v>
      </c>
      <c r="L564" s="631">
        <f t="shared" si="254"/>
        <v>-77.458350702958342</v>
      </c>
      <c r="M564" s="631">
        <f t="shared" si="254"/>
        <v>-78.329404783040445</v>
      </c>
      <c r="N564" s="307"/>
    </row>
    <row r="565" ht="15" customHeight="1">
      <c r="B565" s="630" t="s">
        <v>338</v>
      </c>
      <c r="C565" s="307"/>
      <c r="D565" s="307"/>
      <c r="E565" s="307"/>
      <c r="F565" s="307"/>
      <c r="G565" s="307"/>
      <c r="H565" s="631">
        <f>Model!H105</f>
        <v>20000</v>
      </c>
      <c r="I565" s="634"/>
      <c r="J565" s="635"/>
      <c r="K565" s="635"/>
      <c r="L565" s="635"/>
      <c r="M565" s="636"/>
      <c r="N565" s="307"/>
    </row>
    <row r="566" ht="15" customHeight="1">
      <c r="B566" s="630" t="s">
        <v>195</v>
      </c>
      <c r="C566" s="307"/>
      <c r="D566" s="307"/>
      <c r="E566" s="307"/>
      <c r="F566" s="307"/>
      <c r="G566" s="307"/>
      <c r="H566" s="631">
        <f>H87</f>
        <v>8409.9991000000064</v>
      </c>
      <c r="I566" s="637"/>
      <c r="J566" s="638"/>
      <c r="K566" s="638"/>
      <c r="L566" s="638"/>
      <c r="M566" s="639"/>
      <c r="N566" s="307"/>
    </row>
    <row r="567" ht="15" customHeight="1">
      <c r="B567" s="640"/>
      <c r="C567" s="134"/>
      <c r="D567" s="134"/>
      <c r="E567" s="134"/>
      <c r="F567" s="134"/>
      <c r="G567" s="134"/>
      <c r="H567" s="641"/>
      <c r="I567" s="642"/>
      <c r="J567" s="642"/>
      <c r="K567" s="642"/>
      <c r="L567" s="642"/>
      <c r="M567" s="642"/>
    </row>
    <row r="568" ht="15" customHeight="1">
      <c r="B568" s="625"/>
      <c r="H568" s="626"/>
      <c r="I568" s="627"/>
      <c r="J568" s="627"/>
      <c r="K568" s="627"/>
      <c r="L568" s="627"/>
      <c r="M568" s="627"/>
    </row>
    <row r="569" ht="15" customHeight="1">
      <c r="B569" s="434" t="s">
        <v>339</v>
      </c>
      <c r="C569" s="435"/>
      <c r="D569" s="622"/>
      <c r="E569" s="622"/>
      <c r="F569" s="437"/>
      <c r="G569" s="437"/>
      <c r="H569" s="437"/>
      <c r="I569" s="623"/>
      <c r="J569" s="624"/>
      <c r="K569" s="624"/>
      <c r="L569" s="624"/>
      <c r="M569" s="624"/>
    </row>
    <row r="570" ht="15" customHeight="1">
      <c r="B570" s="643"/>
    </row>
    <row r="571" ht="15" customHeight="1">
      <c r="B571" s="11" t="s">
        <v>3</v>
      </c>
    </row>
    <row r="572" ht="15" customHeight="1">
      <c r="F572" s="388">
        <f t="shared" si="245"/>
        <v>2020</v>
      </c>
      <c r="G572" s="388">
        <f t="shared" si="245"/>
        <v>2021</v>
      </c>
      <c r="H572" s="388">
        <f t="shared" si="245"/>
        <v>2022</v>
      </c>
      <c r="I572" s="389">
        <f t="shared" si="245"/>
        <v>2023</v>
      </c>
      <c r="J572" s="389">
        <f t="shared" si="245"/>
        <v>2024</v>
      </c>
      <c r="K572" s="389">
        <f t="shared" si="245"/>
        <v>2025</v>
      </c>
      <c r="L572" s="389">
        <f t="shared" si="245"/>
        <v>2026</v>
      </c>
      <c r="M572" s="389">
        <f t="shared" si="245"/>
        <v>2027</v>
      </c>
      <c r="N572" s="177" t="str">
        <f t="shared" si="245"/>
        <v>Term</v>
      </c>
      <c r="O572" s="389">
        <f t="shared" ref="O545:O572" si="255">O$3</f>
        <v>0</v>
      </c>
    </row>
    <row r="573" ht="15" customHeight="1">
      <c r="B573" s="306" t="s">
        <v>340</v>
      </c>
      <c r="C573" s="307"/>
      <c r="D573" s="307"/>
      <c r="E573" s="307"/>
      <c r="F573" s="307"/>
      <c r="G573" s="307"/>
      <c r="H573" s="644"/>
      <c r="I573" s="645"/>
      <c r="J573" s="645"/>
      <c r="K573" s="645"/>
      <c r="L573" s="645"/>
      <c r="M573" s="645"/>
      <c r="N573" s="307"/>
    </row>
    <row r="574" ht="15" customHeight="1">
      <c r="B574" s="630" t="s">
        <v>168</v>
      </c>
      <c r="C574" s="307"/>
      <c r="D574" s="307"/>
      <c r="E574" s="307"/>
      <c r="F574" s="307"/>
      <c r="G574" s="307"/>
      <c r="H574" s="644"/>
      <c r="I574" s="646">
        <f>I559</f>
        <v>15273.107447499999</v>
      </c>
      <c r="J574" s="646">
        <f>J559</f>
        <v>14876.452040925004</v>
      </c>
      <c r="K574" s="646">
        <f>K559</f>
        <v>14495.322237052755</v>
      </c>
      <c r="L574" s="646">
        <f>L559</f>
        <v>14077.546010577073</v>
      </c>
      <c r="M574" s="646">
        <f>M559</f>
        <v>13749.433762640969</v>
      </c>
      <c r="N574" s="307"/>
    </row>
    <row r="575" ht="15" customHeight="1">
      <c r="B575" s="630" t="s">
        <v>341</v>
      </c>
      <c r="C575" s="307"/>
      <c r="D575" s="307"/>
      <c r="E575" s="307"/>
      <c r="F575" s="307"/>
      <c r="G575" s="307"/>
      <c r="H575" s="644"/>
      <c r="I575" s="646">
        <f>I574*-I557</f>
        <v>-3818.2768618749997</v>
      </c>
      <c r="J575" s="646">
        <f>J574*-J557</f>
        <v>-3719.1130102312509</v>
      </c>
      <c r="K575" s="646">
        <f>K574*-K557</f>
        <v>-3623.8305592631887</v>
      </c>
      <c r="L575" s="646">
        <f>L574*-L557</f>
        <v>-3519.3865026442681</v>
      </c>
      <c r="M575" s="646">
        <f>M574*-M557</f>
        <v>-3437.3584406602422</v>
      </c>
      <c r="N575" s="307"/>
    </row>
    <row r="576" ht="15" customHeight="1">
      <c r="B576" s="630" t="s">
        <v>173</v>
      </c>
      <c r="C576" s="307"/>
      <c r="D576" s="307"/>
      <c r="E576" s="307"/>
      <c r="F576" s="307"/>
      <c r="G576" s="307"/>
      <c r="H576" s="644"/>
      <c r="I576" s="646">
        <f>I561</f>
        <v>3818.2768618749997</v>
      </c>
      <c r="J576" s="646">
        <f t="shared" ref="J576:M576" si="256">J561</f>
        <v>3024.3925131250003</v>
      </c>
      <c r="K576" s="646">
        <f t="shared" si="256"/>
        <v>343.98240625000017</v>
      </c>
      <c r="L576" s="646">
        <f t="shared" si="256"/>
        <v>248.46238906249982</v>
      </c>
      <c r="M576" s="646">
        <f t="shared" si="256"/>
        <v>104.14537445312499</v>
      </c>
      <c r="N576" s="307"/>
    </row>
    <row r="577" ht="15" customHeight="1">
      <c r="B577" s="630" t="s">
        <v>342</v>
      </c>
      <c r="C577" s="307"/>
      <c r="D577" s="307"/>
      <c r="E577" s="307"/>
      <c r="F577" s="307"/>
      <c r="G577" s="307"/>
      <c r="H577" s="644"/>
      <c r="I577" s="646">
        <f>SUM(I574:I576)</f>
        <v>15273.107447499999</v>
      </c>
      <c r="J577" s="646">
        <f t="shared" ref="J577:M577" si="257">SUM(J574:J576)</f>
        <v>14181.731543818752</v>
      </c>
      <c r="K577" s="646">
        <f t="shared" si="257"/>
        <v>11215.474084039568</v>
      </c>
      <c r="L577" s="646">
        <f t="shared" si="257"/>
        <v>10806.621896995304</v>
      </c>
      <c r="M577" s="646">
        <f t="shared" si="257"/>
        <v>10416.220696433851</v>
      </c>
      <c r="N577" s="307"/>
    </row>
    <row r="578" ht="15" customHeight="1">
      <c r="B578" s="630" t="s">
        <v>167</v>
      </c>
      <c r="C578" s="307"/>
      <c r="D578" s="307"/>
      <c r="E578" s="307"/>
      <c r="F578" s="307"/>
      <c r="G578" s="307"/>
      <c r="H578" s="644"/>
      <c r="I578" s="646">
        <f>I555</f>
        <v>4962.9375</v>
      </c>
      <c r="J578" s="646">
        <f>J555</f>
        <v>5412.9375</v>
      </c>
      <c r="K578" s="646">
        <f>K555</f>
        <v>5837.9375</v>
      </c>
      <c r="L578" s="646">
        <f>L555</f>
        <v>6187.9375</v>
      </c>
      <c r="M578" s="646">
        <f>M555</f>
        <v>6437.9375</v>
      </c>
      <c r="N578" s="307"/>
    </row>
    <row r="579" ht="15" customHeight="1">
      <c r="B579" s="630" t="s">
        <v>343</v>
      </c>
      <c r="C579" s="307"/>
      <c r="D579" s="307"/>
      <c r="E579" s="307"/>
      <c r="F579" s="307"/>
      <c r="G579" s="307"/>
      <c r="H579" s="644"/>
      <c r="I579" s="646">
        <f t="shared" ref="I579:I580" si="258">I563</f>
        <v>-10000</v>
      </c>
      <c r="J579" s="646">
        <f t="shared" ref="J579:M580" si="259">J563</f>
        <v>-8000</v>
      </c>
      <c r="K579" s="646">
        <f t="shared" si="259"/>
        <v>-9000</v>
      </c>
      <c r="L579" s="646">
        <f t="shared" si="259"/>
        <v>-5000</v>
      </c>
      <c r="M579" s="646">
        <f t="shared" si="259"/>
        <v>-5000</v>
      </c>
      <c r="N579" s="307"/>
    </row>
    <row r="580" ht="15" customHeight="1">
      <c r="B580" s="630" t="s">
        <v>337</v>
      </c>
      <c r="C580" s="307"/>
      <c r="D580" s="307"/>
      <c r="E580" s="307"/>
      <c r="F580" s="307"/>
      <c r="G580" s="307"/>
      <c r="H580" s="644"/>
      <c r="I580" s="646">
        <f t="shared" si="258"/>
        <v>-416.38408003424593</v>
      </c>
      <c r="J580" s="646">
        <f t="shared" si="259"/>
        <v>-103.64260740102782</v>
      </c>
      <c r="K580" s="646">
        <f>K564</f>
        <v>-105.38650732305814</v>
      </c>
      <c r="L580" s="646">
        <f>L564</f>
        <v>-77.458350702958342</v>
      </c>
      <c r="M580" s="646">
        <f>M564</f>
        <v>-78.329404783040445</v>
      </c>
      <c r="N580" s="307"/>
    </row>
    <row r="581" ht="15" customHeight="1">
      <c r="B581" s="630" t="s">
        <v>344</v>
      </c>
      <c r="C581" s="307"/>
      <c r="D581" s="307"/>
      <c r="E581" s="307"/>
      <c r="F581" s="307"/>
      <c r="G581" s="307"/>
      <c r="H581" s="644"/>
      <c r="I581" s="647">
        <f>SUM(I577:I580)</f>
        <v>9819.6608674657527</v>
      </c>
      <c r="J581" s="647">
        <f>SUM(J577:J580)</f>
        <v>11491.026436417724</v>
      </c>
      <c r="K581" s="647">
        <f>SUM(K577:K580)</f>
        <v>7948.0250767165098</v>
      </c>
      <c r="L581" s="647">
        <f>SUM(L577:L580)</f>
        <v>11917.101046292346</v>
      </c>
      <c r="M581" s="647">
        <f>SUM(M577:M580)</f>
        <v>11775.828791650811</v>
      </c>
      <c r="N581" s="307"/>
    </row>
    <row r="582" ht="15" customHeight="1">
      <c r="B582" s="630"/>
      <c r="C582" s="307"/>
      <c r="D582" s="307"/>
      <c r="E582" s="307"/>
      <c r="F582" s="307"/>
      <c r="G582" s="307"/>
      <c r="H582" s="644"/>
      <c r="I582" s="648"/>
      <c r="J582" s="648"/>
      <c r="K582" s="648"/>
      <c r="L582" s="648"/>
      <c r="M582" s="648"/>
      <c r="N582" s="307"/>
    </row>
    <row r="583" ht="15" customHeight="1">
      <c r="B583" s="306" t="s">
        <v>345</v>
      </c>
      <c r="C583" s="307"/>
      <c r="D583" s="307"/>
      <c r="E583" s="307"/>
      <c r="F583" s="307"/>
      <c r="G583" s="307"/>
      <c r="H583" s="644"/>
      <c r="I583" s="645"/>
      <c r="J583" s="645"/>
      <c r="K583" s="645"/>
      <c r="L583" s="645"/>
      <c r="M583" s="645"/>
      <c r="N583" s="307"/>
    </row>
    <row r="584" ht="15" customHeight="1">
      <c r="B584" s="630" t="s">
        <v>175</v>
      </c>
      <c r="C584" s="307"/>
      <c r="D584" s="307"/>
      <c r="E584" s="307"/>
      <c r="F584" s="307"/>
      <c r="G584" s="307"/>
      <c r="H584" s="628"/>
      <c r="I584" s="631">
        <f t="shared" ref="I584:M585" si="260">I554</f>
        <v>10685.405578874999</v>
      </c>
      <c r="J584" s="631">
        <f t="shared" si="260"/>
        <v>10542.839122013935</v>
      </c>
      <c r="K584" s="631">
        <f t="shared" si="260"/>
        <v>10407.175021901636</v>
      </c>
      <c r="L584" s="631">
        <f t="shared" si="260"/>
        <v>10224.359902668235</v>
      </c>
      <c r="M584" s="631">
        <f t="shared" si="260"/>
        <v>10154.813937669864</v>
      </c>
      <c r="N584" s="307"/>
    </row>
    <row r="585" ht="15" customHeight="1">
      <c r="B585" s="630" t="s">
        <v>167</v>
      </c>
      <c r="C585" s="307"/>
      <c r="D585" s="307"/>
      <c r="E585" s="307"/>
      <c r="F585" s="307"/>
      <c r="G585" s="307"/>
      <c r="H585" s="628"/>
      <c r="I585" s="631">
        <f t="shared" si="260"/>
        <v>4962.9375</v>
      </c>
      <c r="J585" s="631">
        <f t="shared" si="260"/>
        <v>5412.9375</v>
      </c>
      <c r="K585" s="631">
        <f t="shared" si="260"/>
        <v>5837.9375</v>
      </c>
      <c r="L585" s="631">
        <f t="shared" si="260"/>
        <v>6187.9375</v>
      </c>
      <c r="M585" s="631">
        <f t="shared" si="260"/>
        <v>6437.9375</v>
      </c>
      <c r="N585" s="307"/>
    </row>
    <row r="586" ht="15" customHeight="1">
      <c r="B586" s="630" t="s">
        <v>173</v>
      </c>
      <c r="C586" s="307"/>
      <c r="D586" s="307"/>
      <c r="E586" s="307"/>
      <c r="F586" s="307"/>
      <c r="G586" s="307"/>
      <c r="H586" s="628"/>
      <c r="I586" s="631">
        <f>I561</f>
        <v>3818.2768618749997</v>
      </c>
      <c r="J586" s="631">
        <f t="shared" ref="J586:M586" si="261">J561</f>
        <v>3024.3925131250003</v>
      </c>
      <c r="K586" s="631">
        <f t="shared" si="261"/>
        <v>343.98240625000017</v>
      </c>
      <c r="L586" s="631">
        <f t="shared" si="261"/>
        <v>248.46238906249982</v>
      </c>
      <c r="M586" s="631">
        <f t="shared" si="261"/>
        <v>104.14537445312499</v>
      </c>
      <c r="N586" s="307"/>
    </row>
    <row r="587" ht="15" customHeight="1">
      <c r="B587" s="630" t="s">
        <v>334</v>
      </c>
      <c r="C587" s="307"/>
      <c r="D587" s="307"/>
      <c r="E587" s="307"/>
      <c r="F587" s="307"/>
      <c r="G587" s="307"/>
      <c r="H587" s="628"/>
      <c r="I587" s="631">
        <f>I558</f>
        <v>769.42500674999997</v>
      </c>
      <c r="J587" s="631">
        <f>J558</f>
        <v>614.49990867981933</v>
      </c>
      <c r="K587" s="631">
        <f>K558</f>
        <v>464.31665588793095</v>
      </c>
      <c r="L587" s="631">
        <f>L558</f>
        <v>333.79960526456904</v>
      </c>
      <c r="M587" s="631">
        <f>M558</f>
        <v>157.26138431086306</v>
      </c>
      <c r="N587" s="307"/>
    </row>
    <row r="588" ht="15" customHeight="1">
      <c r="B588" s="630" t="s">
        <v>343</v>
      </c>
      <c r="C588" s="307"/>
      <c r="D588" s="307"/>
      <c r="E588" s="307"/>
      <c r="F588" s="307"/>
      <c r="G588" s="307"/>
      <c r="H588" s="307"/>
      <c r="I588" s="646">
        <f t="shared" ref="I588:M589" si="262">I563</f>
        <v>-10000</v>
      </c>
      <c r="J588" s="646">
        <f t="shared" si="262"/>
        <v>-8000</v>
      </c>
      <c r="K588" s="646">
        <f t="shared" si="262"/>
        <v>-9000</v>
      </c>
      <c r="L588" s="646">
        <f t="shared" si="262"/>
        <v>-5000</v>
      </c>
      <c r="M588" s="646">
        <f t="shared" si="262"/>
        <v>-5000</v>
      </c>
      <c r="N588" s="649"/>
    </row>
    <row r="589" ht="15" customHeight="1">
      <c r="B589" s="630" t="s">
        <v>337</v>
      </c>
      <c r="C589" s="307"/>
      <c r="D589" s="307"/>
      <c r="E589" s="307"/>
      <c r="F589" s="307"/>
      <c r="G589" s="307"/>
      <c r="H589" s="307"/>
      <c r="I589" s="631">
        <f t="shared" si="262"/>
        <v>-416.38408003424593</v>
      </c>
      <c r="J589" s="631">
        <f t="shared" si="262"/>
        <v>-103.64260740102782</v>
      </c>
      <c r="K589" s="631">
        <f t="shared" si="262"/>
        <v>-105.38650732305814</v>
      </c>
      <c r="L589" s="631">
        <f t="shared" si="262"/>
        <v>-77.458350702958342</v>
      </c>
      <c r="M589" s="631">
        <f t="shared" si="262"/>
        <v>-78.329404783040445</v>
      </c>
      <c r="N589" s="307"/>
    </row>
    <row r="590" ht="15" customHeight="1">
      <c r="B590" s="630" t="s">
        <v>346</v>
      </c>
      <c r="C590" s="307"/>
      <c r="D590" s="307"/>
      <c r="E590" s="307"/>
      <c r="F590" s="307"/>
      <c r="G590" s="307"/>
      <c r="H590" s="307"/>
      <c r="I590" s="534">
        <f>SUM(I584:I589)</f>
        <v>9819.6608674657527</v>
      </c>
      <c r="J590" s="534">
        <f t="shared" ref="J590:M590" si="263">SUM(J584:J589)</f>
        <v>11491.026436417727</v>
      </c>
      <c r="K590" s="534">
        <f t="shared" si="263"/>
        <v>7948.0250767165098</v>
      </c>
      <c r="L590" s="534">
        <f t="shared" si="263"/>
        <v>11917.101046292346</v>
      </c>
      <c r="M590" s="534">
        <f t="shared" si="263"/>
        <v>11775.828791650811</v>
      </c>
      <c r="N590" s="307"/>
    </row>
    <row r="591" ht="15" customHeight="1">
      <c r="B591" s="630"/>
      <c r="C591" s="307"/>
      <c r="D591" s="307"/>
      <c r="E591" s="307"/>
      <c r="F591" s="307"/>
      <c r="G591" s="307"/>
      <c r="H591" s="307"/>
      <c r="I591" s="629"/>
      <c r="J591" s="629"/>
      <c r="K591" s="629"/>
      <c r="L591" s="629"/>
      <c r="M591" s="629"/>
      <c r="N591" s="307"/>
    </row>
    <row r="592" ht="15" customHeight="1">
      <c r="B592" s="306" t="s">
        <v>347</v>
      </c>
      <c r="C592" s="307"/>
      <c r="D592" s="307"/>
      <c r="E592" s="307"/>
      <c r="F592" s="307"/>
      <c r="G592" s="307"/>
      <c r="H592" s="644"/>
      <c r="I592" s="645"/>
      <c r="J592" s="645"/>
      <c r="K592" s="645"/>
      <c r="L592" s="645"/>
      <c r="M592" s="645"/>
      <c r="N592" s="307"/>
    </row>
    <row r="593" ht="15" customHeight="1">
      <c r="B593" s="630" t="s">
        <v>165</v>
      </c>
      <c r="C593" s="307"/>
      <c r="D593" s="307"/>
      <c r="E593" s="307"/>
      <c r="F593" s="307"/>
      <c r="G593" s="307"/>
      <c r="H593" s="644"/>
      <c r="I593" s="646">
        <f>I562</f>
        <v>20236.044947499999</v>
      </c>
      <c r="J593" s="646">
        <f>J562</f>
        <v>20289.389540925004</v>
      </c>
      <c r="K593" s="646">
        <f>K562</f>
        <v>20333.259737052755</v>
      </c>
      <c r="L593" s="646">
        <f>L562</f>
        <v>20265.483510577073</v>
      </c>
      <c r="M593" s="646">
        <f>M562</f>
        <v>20187.371262640969</v>
      </c>
      <c r="N593" s="307"/>
    </row>
    <row r="594" ht="15" customHeight="1">
      <c r="B594" s="630" t="s">
        <v>335</v>
      </c>
      <c r="C594" s="307"/>
      <c r="D594" s="307"/>
      <c r="E594" s="307"/>
      <c r="F594" s="307"/>
      <c r="G594" s="307"/>
      <c r="H594" s="644"/>
      <c r="I594" s="646">
        <f t="shared" ref="I594:I595" si="264">I560</f>
        <v>-3818.2768618749997</v>
      </c>
      <c r="J594" s="646">
        <f t="shared" ref="J594:M595" si="265">J560</f>
        <v>-3719.1130102312509</v>
      </c>
      <c r="K594" s="646">
        <f>K560</f>
        <v>-3623.8305592631887</v>
      </c>
      <c r="L594" s="646">
        <f>L560</f>
        <v>-3519.3865026442681</v>
      </c>
      <c r="M594" s="646">
        <f>M560</f>
        <v>-3437.3584406602422</v>
      </c>
      <c r="N594" s="307"/>
    </row>
    <row r="595" ht="15" customHeight="1">
      <c r="B595" s="630" t="s">
        <v>173</v>
      </c>
      <c r="C595" s="307"/>
      <c r="D595" s="307"/>
      <c r="E595" s="307"/>
      <c r="F595" s="307"/>
      <c r="G595" s="307"/>
      <c r="H595" s="644"/>
      <c r="I595" s="646">
        <f t="shared" si="264"/>
        <v>3818.2768618749997</v>
      </c>
      <c r="J595" s="646">
        <f t="shared" si="265"/>
        <v>3024.3925131250003</v>
      </c>
      <c r="K595" s="646">
        <f t="shared" si="265"/>
        <v>343.98240625000017</v>
      </c>
      <c r="L595" s="646">
        <f t="shared" si="265"/>
        <v>248.46238906249982</v>
      </c>
      <c r="M595" s="646">
        <f t="shared" si="265"/>
        <v>104.14537445312499</v>
      </c>
      <c r="N595" s="307"/>
    </row>
    <row r="596" ht="15" customHeight="1">
      <c r="B596" s="630" t="s">
        <v>343</v>
      </c>
      <c r="C596" s="307"/>
      <c r="D596" s="307"/>
      <c r="E596" s="307"/>
      <c r="F596" s="307"/>
      <c r="G596" s="307"/>
      <c r="H596" s="644"/>
      <c r="I596" s="646">
        <f t="shared" ref="I596:M597" si="266">I563</f>
        <v>-10000</v>
      </c>
      <c r="J596" s="646">
        <f t="shared" si="266"/>
        <v>-8000</v>
      </c>
      <c r="K596" s="646">
        <f t="shared" si="266"/>
        <v>-9000</v>
      </c>
      <c r="L596" s="646">
        <f t="shared" si="266"/>
        <v>-5000</v>
      </c>
      <c r="M596" s="646">
        <f t="shared" si="266"/>
        <v>-5000</v>
      </c>
      <c r="N596" s="307"/>
    </row>
    <row r="597" ht="15" customHeight="1">
      <c r="B597" s="630" t="s">
        <v>337</v>
      </c>
      <c r="C597" s="307"/>
      <c r="D597" s="307"/>
      <c r="E597" s="307"/>
      <c r="F597" s="307"/>
      <c r="G597" s="307"/>
      <c r="H597" s="644"/>
      <c r="I597" s="646">
        <f t="shared" si="266"/>
        <v>-416.38408003424593</v>
      </c>
      <c r="J597" s="646">
        <f t="shared" si="266"/>
        <v>-103.64260740102782</v>
      </c>
      <c r="K597" s="646">
        <f t="shared" si="266"/>
        <v>-105.38650732305814</v>
      </c>
      <c r="L597" s="646">
        <f t="shared" si="266"/>
        <v>-77.458350702958342</v>
      </c>
      <c r="M597" s="646">
        <f t="shared" si="266"/>
        <v>-78.329404783040445</v>
      </c>
      <c r="N597" s="307"/>
    </row>
    <row r="598" ht="15" customHeight="1">
      <c r="B598" s="630" t="s">
        <v>348</v>
      </c>
      <c r="C598" s="307"/>
      <c r="D598" s="307"/>
      <c r="E598" s="307"/>
      <c r="F598" s="307"/>
      <c r="G598" s="307"/>
      <c r="H598" s="644"/>
      <c r="I598" s="647">
        <f>SUM(I593:I597)</f>
        <v>9819.6608674657527</v>
      </c>
      <c r="J598" s="647">
        <f>SUM(J593:J597)</f>
        <v>11491.026436417724</v>
      </c>
      <c r="K598" s="647">
        <f>SUM(K593:K597)</f>
        <v>7948.0250767165098</v>
      </c>
      <c r="L598" s="647">
        <f>SUM(L593:L597)</f>
        <v>11917.101046292346</v>
      </c>
      <c r="M598" s="647">
        <f>SUM(M593:M597)</f>
        <v>11775.828791650811</v>
      </c>
      <c r="N598" s="307"/>
    </row>
    <row r="599" ht="15" customHeight="1">
      <c r="B599" s="630"/>
      <c r="C599" s="307"/>
      <c r="D599" s="307"/>
      <c r="E599" s="307"/>
      <c r="F599" s="307"/>
      <c r="G599" s="307"/>
      <c r="H599" s="644"/>
      <c r="I599" s="648"/>
      <c r="J599" s="648"/>
      <c r="K599" s="648"/>
      <c r="L599" s="648"/>
      <c r="M599" s="648"/>
      <c r="N599" s="307"/>
    </row>
    <row r="600" ht="15" customHeight="1">
      <c r="B600" s="650"/>
      <c r="C600" s="650"/>
      <c r="D600" s="650"/>
      <c r="E600" s="650"/>
      <c r="F600" s="650"/>
      <c r="G600" s="650"/>
      <c r="H600" s="651"/>
      <c r="I600" s="652"/>
      <c r="J600" s="652"/>
      <c r="K600" s="652"/>
      <c r="L600" s="652"/>
      <c r="M600" s="652"/>
      <c r="N600" s="307"/>
    </row>
    <row r="601" ht="15" customHeight="1">
      <c r="B601" s="61"/>
    </row>
    <row r="602" ht="15" customHeight="1">
      <c r="B602" s="434" t="s">
        <v>349</v>
      </c>
      <c r="C602" s="435"/>
      <c r="D602" s="622"/>
      <c r="E602" s="622"/>
      <c r="F602" s="437"/>
      <c r="G602" s="437"/>
      <c r="H602" s="437"/>
      <c r="I602" s="623"/>
      <c r="J602" s="624"/>
      <c r="K602" s="624"/>
      <c r="L602" s="624"/>
      <c r="M602" s="624"/>
    </row>
    <row r="603" ht="15" customHeight="1">
      <c r="B603" s="61"/>
    </row>
    <row r="604" ht="15" customHeight="1">
      <c r="B604" s="390" t="s">
        <v>14</v>
      </c>
      <c r="C604" s="653">
        <f>C508</f>
        <v>0.095866057127655321</v>
      </c>
    </row>
    <row r="605" ht="15" customHeight="1">
      <c r="B605" s="408" t="s">
        <v>13</v>
      </c>
      <c r="C605" s="654">
        <f>C460</f>
        <v>0.01</v>
      </c>
    </row>
    <row r="606" ht="15" customHeight="1">
      <c r="B606" s="61"/>
    </row>
    <row r="607" ht="15" customHeight="1">
      <c r="B607" s="11" t="s">
        <v>3</v>
      </c>
    </row>
    <row r="608" ht="15" customHeight="1">
      <c r="C608" s="35"/>
      <c r="H608"/>
      <c r="I608" s="389">
        <f t="shared" ref="I608:N608" si="267">I$3</f>
        <v>2023</v>
      </c>
      <c r="J608" s="389">
        <f t="shared" si="267"/>
        <v>2024</v>
      </c>
      <c r="K608" s="389">
        <f t="shared" si="267"/>
        <v>2025</v>
      </c>
      <c r="L608" s="389">
        <f t="shared" si="267"/>
        <v>2026</v>
      </c>
      <c r="M608" s="389">
        <f t="shared" si="267"/>
        <v>2027</v>
      </c>
      <c r="N608" s="177" t="str">
        <f t="shared" si="267"/>
        <v>Term</v>
      </c>
    </row>
    <row r="609" ht="15" customHeight="1">
      <c r="B609" s="630" t="s">
        <v>350</v>
      </c>
      <c r="C609" s="35"/>
      <c r="I609" s="465">
        <f>I598</f>
        <v>9819.6608674657527</v>
      </c>
      <c r="J609" s="465">
        <f t="shared" ref="J609:M609" si="268">J598</f>
        <v>11491.026436417724</v>
      </c>
      <c r="K609" s="465">
        <f t="shared" si="268"/>
        <v>7948.0250767165098</v>
      </c>
      <c r="L609" s="465">
        <f t="shared" si="268"/>
        <v>11917.101046292346</v>
      </c>
      <c r="M609" s="465">
        <f t="shared" si="268"/>
        <v>11775.828791650811</v>
      </c>
    </row>
    <row r="610" ht="15" customHeight="1">
      <c r="B610" s="630" t="s">
        <v>351</v>
      </c>
      <c r="C610" s="35"/>
      <c r="I610" s="30"/>
      <c r="J610" s="30"/>
      <c r="K610" s="30"/>
      <c r="L610" s="30"/>
      <c r="M610" s="465">
        <f>M609*(1+C605)</f>
        <v>11893.587079567318</v>
      </c>
    </row>
    <row r="611" ht="15" customHeight="1">
      <c r="B611" s="180" t="s">
        <v>352</v>
      </c>
      <c r="C611" s="35"/>
      <c r="I611" s="628"/>
      <c r="J611" s="307"/>
      <c r="K611" s="307"/>
      <c r="L611" s="307"/>
      <c r="M611" s="655">
        <f>M610/(C604-C605)</f>
        <v>138513.25514906738</v>
      </c>
    </row>
    <row r="612" ht="15" customHeight="1">
      <c r="B612" s="656"/>
      <c r="C612" s="657"/>
      <c r="D612" s="134"/>
      <c r="E612" s="134"/>
      <c r="F612" s="134"/>
      <c r="G612" s="134"/>
      <c r="H612" s="134"/>
      <c r="I612" s="658"/>
      <c r="J612" s="650"/>
      <c r="K612" s="650"/>
      <c r="L612" s="650"/>
      <c r="M612" s="545"/>
    </row>
    <row r="613" ht="15" customHeight="1">
      <c r="B613" s="350"/>
      <c r="C613" s="12"/>
      <c r="D613" s="659"/>
      <c r="E613" s="659"/>
      <c r="F613" s="10"/>
      <c r="G613" s="10"/>
      <c r="H613" s="10"/>
      <c r="I613" s="660"/>
      <c r="J613" s="661"/>
      <c r="K613" s="661"/>
      <c r="L613" s="661"/>
      <c r="M613" s="661"/>
    </row>
    <row r="614" ht="15" customHeight="1">
      <c r="B614" s="434" t="s">
        <v>353</v>
      </c>
      <c r="C614" s="435"/>
      <c r="D614" s="622"/>
      <c r="E614" s="622"/>
      <c r="F614" s="437"/>
      <c r="G614" s="437"/>
      <c r="H614" s="437"/>
      <c r="I614" s="623"/>
      <c r="J614" s="624"/>
      <c r="K614" s="624"/>
      <c r="L614" s="624"/>
      <c r="M614" s="624"/>
    </row>
    <row r="615" ht="15" customHeight="1">
      <c r="B615" s="625"/>
      <c r="I615" s="627"/>
      <c r="J615" s="627"/>
      <c r="K615" s="627"/>
      <c r="L615" s="627"/>
      <c r="M615" s="627"/>
    </row>
    <row r="616" ht="15" customHeight="1">
      <c r="B616" s="390" t="s">
        <v>14</v>
      </c>
      <c r="C616" s="653">
        <f>C461</f>
        <v>0.095866057127655321</v>
      </c>
      <c r="I616" s="627"/>
      <c r="J616" s="627"/>
      <c r="K616" s="627"/>
      <c r="L616" s="627"/>
      <c r="M616" s="627"/>
    </row>
    <row r="617" ht="15" customHeight="1">
      <c r="B617" s="408" t="s">
        <v>29</v>
      </c>
      <c r="C617" s="608">
        <f>C507</f>
        <v>7</v>
      </c>
    </row>
    <row r="618" ht="15" customHeight="1">
      <c r="B618" s="73"/>
      <c r="C618" s="662"/>
    </row>
    <row r="619" ht="15" customHeight="1">
      <c r="B619" s="11" t="s">
        <v>3</v>
      </c>
      <c r="C619" s="136"/>
    </row>
    <row r="620" ht="15" customHeight="1">
      <c r="C620" s="35"/>
      <c r="H620"/>
      <c r="I620" s="389">
        <f t="shared" ref="I620:N620" si="269">I$3</f>
        <v>2023</v>
      </c>
      <c r="J620" s="389">
        <f t="shared" si="269"/>
        <v>2024</v>
      </c>
      <c r="K620" s="389">
        <f t="shared" si="269"/>
        <v>2025</v>
      </c>
      <c r="L620" s="389">
        <f t="shared" si="269"/>
        <v>2026</v>
      </c>
      <c r="M620" s="389">
        <f t="shared" si="269"/>
        <v>2027</v>
      </c>
      <c r="N620" s="177" t="str">
        <f t="shared" si="269"/>
        <v>Term</v>
      </c>
    </row>
    <row r="621" ht="15" customHeight="1">
      <c r="B621" s="630" t="s">
        <v>350</v>
      </c>
      <c r="C621" s="663"/>
      <c r="D621" s="307"/>
      <c r="E621" s="307"/>
      <c r="F621" s="307"/>
      <c r="G621" s="307"/>
      <c r="H621" s="307"/>
      <c r="I621" s="465">
        <f>I609</f>
        <v>9819.6608674657527</v>
      </c>
      <c r="J621" s="465">
        <f t="shared" ref="J621:M621" si="270">J609</f>
        <v>11491.026436417724</v>
      </c>
      <c r="K621" s="465">
        <f t="shared" si="270"/>
        <v>7948.0250767165098</v>
      </c>
      <c r="L621" s="465">
        <f t="shared" si="270"/>
        <v>11917.101046292346</v>
      </c>
      <c r="M621" s="465">
        <f t="shared" si="270"/>
        <v>11775.828791650811</v>
      </c>
    </row>
    <row r="622" ht="15" customHeight="1">
      <c r="B622" s="630" t="s">
        <v>165</v>
      </c>
      <c r="C622" s="663"/>
      <c r="D622" s="307"/>
      <c r="E622" s="307"/>
      <c r="F622" s="307"/>
      <c r="G622" s="307"/>
      <c r="H622" s="307"/>
      <c r="I622" s="628"/>
      <c r="J622" s="628"/>
      <c r="K622" s="628"/>
      <c r="L622" s="628"/>
      <c r="M622" s="465">
        <f>M562</f>
        <v>20187.371262640969</v>
      </c>
    </row>
    <row r="623" ht="15" customHeight="1">
      <c r="B623" s="180" t="s">
        <v>354</v>
      </c>
      <c r="C623" s="663"/>
      <c r="D623" s="307"/>
      <c r="E623" s="307"/>
      <c r="F623" s="307"/>
      <c r="G623" s="307"/>
      <c r="H623" s="307"/>
      <c r="I623" s="628"/>
      <c r="J623" s="307"/>
      <c r="K623" s="307"/>
      <c r="L623" s="307"/>
      <c r="M623" s="655">
        <f>M622*C617</f>
        <v>141311.59883848677</v>
      </c>
    </row>
    <row r="624" ht="15" customHeight="1">
      <c r="B624" s="625"/>
      <c r="I624" s="627"/>
      <c r="J624" s="627"/>
      <c r="K624" s="627"/>
      <c r="L624" s="627"/>
      <c r="M624" s="627"/>
    </row>
    <row r="625" ht="15" customHeight="1">
      <c r="B625" s="640"/>
      <c r="C625" s="134"/>
      <c r="D625" s="134"/>
      <c r="E625" s="134"/>
      <c r="F625" s="134"/>
      <c r="G625" s="134"/>
      <c r="H625" s="134"/>
      <c r="I625" s="642"/>
      <c r="J625" s="642"/>
      <c r="K625" s="642"/>
      <c r="L625" s="642"/>
      <c r="M625" s="642"/>
    </row>
    <row r="626" ht="15" customHeight="1">
      <c r="B626" s="625"/>
      <c r="I626" s="627"/>
      <c r="J626" s="627"/>
      <c r="K626" s="627"/>
      <c r="L626" s="627"/>
      <c r="M626" s="627"/>
    </row>
    <row r="627" ht="15" customHeight="1">
      <c r="B627" s="434" t="s">
        <v>355</v>
      </c>
      <c r="C627" s="435"/>
      <c r="D627" s="622"/>
      <c r="E627" s="622"/>
      <c r="F627" s="437"/>
      <c r="G627" s="437"/>
      <c r="H627" s="437"/>
      <c r="I627" s="623"/>
      <c r="J627" s="624"/>
      <c r="K627" s="624"/>
      <c r="L627" s="624"/>
      <c r="M627" s="624"/>
    </row>
    <row r="628" ht="15" customHeight="1">
      <c r="I628" s="627"/>
      <c r="J628" s="627"/>
      <c r="K628" s="627"/>
      <c r="L628" s="627"/>
      <c r="M628" s="627"/>
    </row>
    <row r="629" ht="15" customHeight="1">
      <c r="B629" s="11" t="s">
        <v>3</v>
      </c>
      <c r="I629" s="627"/>
      <c r="J629" s="627"/>
      <c r="K629" s="627"/>
      <c r="L629" s="627"/>
      <c r="M629" s="627"/>
    </row>
    <row r="630" ht="15" customHeight="1">
      <c r="B630" s="625"/>
      <c r="F630" s="388">
        <f t="shared" ref="F616:N669" si="271">F$3</f>
        <v>2020</v>
      </c>
      <c r="G630" s="388">
        <f t="shared" si="271"/>
        <v>2021</v>
      </c>
      <c r="H630" s="388">
        <f t="shared" si="271"/>
        <v>2022</v>
      </c>
      <c r="I630" s="389">
        <f t="shared" si="271"/>
        <v>2023</v>
      </c>
      <c r="J630" s="389">
        <f t="shared" si="271"/>
        <v>2024</v>
      </c>
      <c r="K630" s="389">
        <f t="shared" si="271"/>
        <v>2025</v>
      </c>
      <c r="L630" s="389">
        <f t="shared" si="271"/>
        <v>2026</v>
      </c>
      <c r="M630" s="389">
        <f t="shared" si="271"/>
        <v>2027</v>
      </c>
      <c r="N630" s="177" t="str">
        <f t="shared" si="271"/>
        <v>Term</v>
      </c>
    </row>
    <row r="631" ht="15" customHeight="1">
      <c r="B631" s="630" t="s">
        <v>356</v>
      </c>
      <c r="C631" s="307"/>
      <c r="D631" s="307"/>
      <c r="E631" s="307"/>
      <c r="F631" s="307"/>
      <c r="G631" s="307"/>
      <c r="H631" s="307"/>
      <c r="I631" s="629"/>
      <c r="J631" s="629"/>
      <c r="K631" s="629"/>
      <c r="L631" s="629"/>
      <c r="M631" s="631">
        <f>M611</f>
        <v>138513.25514906738</v>
      </c>
    </row>
    <row r="632" ht="15" customHeight="1">
      <c r="B632" s="630" t="s">
        <v>354</v>
      </c>
      <c r="C632" s="307"/>
      <c r="D632" s="307"/>
      <c r="E632" s="307"/>
      <c r="F632" s="307"/>
      <c r="G632" s="307"/>
      <c r="H632" s="307"/>
      <c r="I632" s="629"/>
      <c r="J632" s="629"/>
      <c r="K632" s="629"/>
      <c r="L632" s="629"/>
      <c r="M632" s="295">
        <f>M623</f>
        <v>141311.59883848677</v>
      </c>
    </row>
    <row r="633" ht="15" customHeight="1">
      <c r="B633" s="664" t="s">
        <v>49</v>
      </c>
      <c r="C633" s="306"/>
      <c r="D633" s="306"/>
      <c r="E633" s="306"/>
      <c r="F633" s="306"/>
      <c r="G633" s="306"/>
      <c r="H633" s="306"/>
      <c r="I633" s="665"/>
      <c r="J633" s="665"/>
      <c r="K633" s="665"/>
      <c r="L633" s="665"/>
      <c r="M633" s="666">
        <f>+AVERAGE(M631:M632)</f>
        <v>139912.42699377707</v>
      </c>
      <c r="N633" s="667"/>
    </row>
    <row r="634" ht="15" customHeight="1">
      <c r="B634" s="630"/>
      <c r="C634" s="307"/>
      <c r="D634" s="307"/>
      <c r="E634" s="307"/>
      <c r="F634" s="307"/>
      <c r="G634" s="307"/>
      <c r="H634" s="307"/>
      <c r="I634" s="629"/>
      <c r="J634" s="629"/>
      <c r="K634" s="629"/>
      <c r="L634" s="629"/>
      <c r="M634" s="629"/>
    </row>
    <row r="635" ht="15" customHeight="1">
      <c r="B635" s="630"/>
      <c r="C635" s="307"/>
      <c r="D635" s="307"/>
      <c r="E635" s="307"/>
      <c r="F635" s="307"/>
      <c r="G635" s="307"/>
      <c r="H635" s="307"/>
      <c r="I635" s="629"/>
      <c r="J635" s="629"/>
      <c r="K635" s="629"/>
      <c r="L635" s="629"/>
      <c r="M635" s="629"/>
    </row>
    <row r="636" ht="15" customHeight="1">
      <c r="B636" s="630" t="s">
        <v>350</v>
      </c>
      <c r="C636" s="307"/>
      <c r="D636" s="307"/>
      <c r="E636" s="307"/>
      <c r="F636" s="307"/>
      <c r="G636" s="307"/>
      <c r="H636" s="307"/>
      <c r="I636" s="465">
        <f>I581</f>
        <v>9819.6608674657527</v>
      </c>
      <c r="J636" s="465">
        <f>J581</f>
        <v>11491.026436417724</v>
      </c>
      <c r="K636" s="465">
        <f>K581</f>
        <v>7948.0250767165098</v>
      </c>
      <c r="L636" s="465">
        <f>L581</f>
        <v>11917.101046292346</v>
      </c>
      <c r="M636" s="465">
        <f>M581</f>
        <v>11775.828791650811</v>
      </c>
    </row>
    <row r="637" ht="15" customHeight="1">
      <c r="B637" s="630" t="s">
        <v>307</v>
      </c>
      <c r="C637" s="307"/>
      <c r="D637" s="307"/>
      <c r="E637" s="307"/>
      <c r="F637" s="307"/>
      <c r="G637" s="307"/>
      <c r="H637" s="307"/>
      <c r="I637" s="629"/>
      <c r="J637" s="629"/>
      <c r="K637" s="629"/>
      <c r="L637" s="629"/>
      <c r="M637" s="631">
        <f>M633</f>
        <v>139912.42699377707</v>
      </c>
    </row>
    <row r="638" ht="15" customHeight="1">
      <c r="B638" s="630" t="s">
        <v>357</v>
      </c>
      <c r="C638" s="307"/>
      <c r="D638" s="307"/>
      <c r="E638" s="307"/>
      <c r="F638" s="307"/>
      <c r="G638" s="307"/>
      <c r="H638" s="307"/>
      <c r="I638" s="668">
        <f>SUM(I636:I637)</f>
        <v>9819.6608674657527</v>
      </c>
      <c r="J638" s="668">
        <f t="shared" ref="J638:M638" si="272">SUM(J636:J637)</f>
        <v>11491.026436417724</v>
      </c>
      <c r="K638" s="668">
        <f t="shared" si="272"/>
        <v>7948.0250767165098</v>
      </c>
      <c r="L638" s="668">
        <f t="shared" si="272"/>
        <v>11917.101046292346</v>
      </c>
      <c r="M638" s="668">
        <f t="shared" si="272"/>
        <v>151688.25578542787</v>
      </c>
    </row>
    <row r="639" ht="15" customHeight="1">
      <c r="B639" s="630"/>
      <c r="C639" s="307"/>
      <c r="D639" s="307"/>
      <c r="E639" s="307"/>
      <c r="F639" s="307"/>
      <c r="G639" s="307"/>
      <c r="H639" s="307"/>
      <c r="I639" s="629"/>
      <c r="J639" s="629"/>
      <c r="K639" s="629"/>
      <c r="L639" s="629"/>
      <c r="M639" s="629"/>
    </row>
    <row r="640" ht="15" customHeight="1">
      <c r="B640" s="669" t="s">
        <v>14</v>
      </c>
      <c r="C640" s="670">
        <f>C461</f>
        <v>0.095866057127655321</v>
      </c>
      <c r="D640" s="307"/>
      <c r="E640" s="307"/>
      <c r="F640" s="307"/>
      <c r="G640" s="307"/>
      <c r="H640" s="307"/>
      <c r="I640" s="629"/>
      <c r="J640" s="629"/>
      <c r="K640" s="629"/>
      <c r="L640" s="629"/>
      <c r="M640" s="629"/>
    </row>
    <row r="641" ht="15" customHeight="1">
      <c r="B641" s="630"/>
      <c r="C641" s="671"/>
      <c r="D641" s="307"/>
      <c r="E641" s="307"/>
      <c r="F641" s="307"/>
      <c r="G641" s="307"/>
      <c r="H641" s="307"/>
      <c r="I641" s="629"/>
      <c r="J641" s="629"/>
      <c r="K641" s="629"/>
      <c r="L641" s="629"/>
      <c r="M641" s="629"/>
    </row>
    <row r="642" ht="15" customHeight="1">
      <c r="B642" s="630" t="s">
        <v>358</v>
      </c>
      <c r="C642" s="307"/>
      <c r="D642" s="307"/>
      <c r="E642" s="307"/>
      <c r="F642" s="307"/>
      <c r="G642" s="307"/>
      <c r="H642" s="307"/>
      <c r="I642" s="672">
        <f>+I630-$H$630</f>
        <v>1</v>
      </c>
      <c r="J642" s="672">
        <f t="shared" ref="J642:M642" si="273">+J630-$H$630</f>
        <v>2</v>
      </c>
      <c r="K642" s="672">
        <f t="shared" si="273"/>
        <v>3</v>
      </c>
      <c r="L642" s="672">
        <f t="shared" si="273"/>
        <v>4</v>
      </c>
      <c r="M642" s="672">
        <f t="shared" si="273"/>
        <v>5</v>
      </c>
    </row>
    <row r="643" ht="15" customHeight="1">
      <c r="B643" s="630" t="s">
        <v>359</v>
      </c>
      <c r="C643" s="307"/>
      <c r="D643" s="307"/>
      <c r="E643" s="307"/>
      <c r="F643" s="307"/>
      <c r="G643" s="307"/>
      <c r="H643" s="307"/>
      <c r="I643" s="631">
        <f>I638/(1+$C$640)^I642</f>
        <v>8960.6396727021529</v>
      </c>
      <c r="J643" s="631">
        <f t="shared" ref="J643:M643" si="274">J638/(1+$C$640)^J642</f>
        <v>9568.5002555669489</v>
      </c>
      <c r="K643" s="631">
        <f t="shared" si="274"/>
        <v>6039.3027621886513</v>
      </c>
      <c r="L643" s="631">
        <f t="shared" si="274"/>
        <v>8263.0564521450651</v>
      </c>
      <c r="M643" s="631">
        <f t="shared" si="274"/>
        <v>95976.427453128112</v>
      </c>
    </row>
    <row r="644" ht="15" customHeight="1">
      <c r="B644" s="625"/>
      <c r="I644" s="627"/>
      <c r="J644" s="627"/>
      <c r="K644" s="627"/>
      <c r="L644" s="627"/>
      <c r="M644" s="627"/>
    </row>
    <row r="645" ht="15" customHeight="1">
      <c r="B645" s="61" t="s">
        <v>360</v>
      </c>
      <c r="C645" s="289"/>
      <c r="I645" s="61" t="s">
        <v>361</v>
      </c>
      <c r="M645" s="627"/>
    </row>
    <row r="646" ht="15" customHeight="1">
      <c r="B646" s="600" t="s">
        <v>318</v>
      </c>
      <c r="C646" s="619"/>
      <c r="D646" s="391">
        <f>+SUM(I643:M643)</f>
        <v>128807.92659573093</v>
      </c>
      <c r="I646" s="673" t="str">
        <f>$M$630&amp;"F UFCF"</f>
        <v xml:space="preserve">2027F UFCF</v>
      </c>
      <c r="J646" s="619"/>
      <c r="K646" s="619"/>
      <c r="L646" s="619"/>
      <c r="M646" s="391">
        <f>M598</f>
        <v>11775.828791650811</v>
      </c>
    </row>
    <row r="647" ht="15" customHeight="1">
      <c r="B647" s="604" t="s">
        <v>321</v>
      </c>
      <c r="D647" s="468">
        <f>H566-H565</f>
        <v>-11590.000899999994</v>
      </c>
      <c r="I647" s="674" t="s">
        <v>354</v>
      </c>
      <c r="M647" s="675">
        <f>M623</f>
        <v>141311.59883848677</v>
      </c>
    </row>
    <row r="648" ht="15" customHeight="1">
      <c r="B648" s="603" t="s">
        <v>25</v>
      </c>
      <c r="C648" s="134"/>
      <c r="D648" s="468">
        <f>SUM(D646:D647)</f>
        <v>117217.92569573093</v>
      </c>
      <c r="I648" s="676" t="s">
        <v>362</v>
      </c>
      <c r="J648" s="297"/>
      <c r="K648" s="297"/>
      <c r="L648" s="297"/>
      <c r="M648" s="677">
        <f>(M647*C640-M646)/(M646+M647)</f>
        <v>0.01156957852658564</v>
      </c>
      <c r="N648" s="678"/>
    </row>
    <row r="649" ht="15" customHeight="1">
      <c r="I649" s="676" t="s">
        <v>363</v>
      </c>
      <c r="M649" s="677">
        <f>((M647/(1+C640)^0.5)*C640-M646)/(M646+(M647/(1+C640)^0.5))</f>
        <v>0.0079382323702868029</v>
      </c>
    </row>
    <row r="650" ht="15" customHeight="1">
      <c r="B650" s="61" t="s">
        <v>320</v>
      </c>
      <c r="C650" s="289"/>
      <c r="I650" s="679"/>
      <c r="M650" s="680"/>
    </row>
    <row r="651" ht="15" customHeight="1">
      <c r="B651" s="600" t="s">
        <v>25</v>
      </c>
      <c r="C651" s="619"/>
      <c r="D651" s="619"/>
      <c r="E651" s="391">
        <f>+D648</f>
        <v>117217.92569573093</v>
      </c>
      <c r="I651" s="674" t="str">
        <f>$M$630&amp;"F EBITDA"</f>
        <v xml:space="preserve">2027F EBITDA</v>
      </c>
      <c r="M651" s="675">
        <f>M562</f>
        <v>20187.371262640969</v>
      </c>
    </row>
    <row r="652" ht="15" customHeight="1">
      <c r="B652" s="604" t="s">
        <v>18</v>
      </c>
      <c r="D652" s="605" t="s">
        <v>19</v>
      </c>
      <c r="E652" s="681">
        <f>Inputs!F113</f>
        <v>34200</v>
      </c>
      <c r="I652" s="674" t="s">
        <v>352</v>
      </c>
      <c r="J652" s="627"/>
      <c r="K652" s="627"/>
      <c r="L652" s="627"/>
      <c r="M652" s="682">
        <f>M611</f>
        <v>138513.25514906738</v>
      </c>
    </row>
    <row r="653" ht="15" customHeight="1">
      <c r="B653" s="604" t="s">
        <v>25</v>
      </c>
      <c r="D653" s="606" t="s">
        <v>322</v>
      </c>
      <c r="E653" s="683">
        <f>E651/E652</f>
        <v>3.4274247279453487</v>
      </c>
      <c r="I653" s="684" t="s">
        <v>364</v>
      </c>
      <c r="J653" s="685"/>
      <c r="K653" s="685"/>
      <c r="L653" s="685"/>
      <c r="M653" s="686">
        <f>M652/M651</f>
        <v>6.8613814719602422</v>
      </c>
    </row>
    <row r="654" ht="15" customHeight="1">
      <c r="B654" s="604" t="s">
        <v>365</v>
      </c>
      <c r="D654" s="606" t="s">
        <v>322</v>
      </c>
      <c r="E654" s="687">
        <f>Inputs!F114</f>
        <v>2.23</v>
      </c>
      <c r="I654" s="688" t="s">
        <v>366</v>
      </c>
      <c r="J654" s="134"/>
      <c r="K654" s="134"/>
      <c r="L654" s="134"/>
      <c r="M654" s="689">
        <f>(M652*(1+C640)^0.5)/M651</f>
        <v>7.1827425969711163</v>
      </c>
    </row>
    <row r="655" ht="15" customHeight="1">
      <c r="B655" s="690" t="s">
        <v>367</v>
      </c>
      <c r="C655" s="691"/>
      <c r="D655" s="691"/>
      <c r="E655" s="692">
        <f>E653/E654-1</f>
        <v>0.53696176141047025</v>
      </c>
    </row>
    <row r="656" ht="15" customHeight="1">
      <c r="M656" s="693" t="s">
        <v>368</v>
      </c>
    </row>
    <row r="657" ht="15" customHeight="1">
      <c r="M657" s="694" t="s">
        <v>369</v>
      </c>
    </row>
    <row r="659" ht="15" customHeight="1">
      <c r="B659" s="134"/>
      <c r="C659" s="134"/>
      <c r="D659" s="134"/>
      <c r="E659" s="134"/>
      <c r="F659" s="134"/>
      <c r="G659" s="134"/>
      <c r="H659" s="134"/>
      <c r="I659" s="134"/>
      <c r="J659" s="134"/>
      <c r="K659" s="134"/>
      <c r="L659" s="134"/>
      <c r="M659" s="134"/>
    </row>
    <row r="661" ht="15" customHeight="1">
      <c r="B661" s="434" t="s">
        <v>370</v>
      </c>
      <c r="C661" s="435"/>
      <c r="D661" s="622"/>
      <c r="E661" s="622"/>
      <c r="F661" s="437"/>
      <c r="G661" s="437"/>
      <c r="H661" s="437"/>
      <c r="I661" s="623"/>
      <c r="J661" s="624"/>
      <c r="K661" s="624"/>
      <c r="L661" s="624"/>
      <c r="M661" s="624"/>
      <c r="N661" s="624"/>
    </row>
    <row r="663" ht="15" customHeight="1">
      <c r="B663" s="11" t="s">
        <v>3</v>
      </c>
      <c r="H663" s="579" t="s">
        <v>130</v>
      </c>
      <c r="I663" s="580" t="s">
        <v>302</v>
      </c>
      <c r="J663" s="581"/>
      <c r="K663" s="581"/>
      <c r="L663" s="581"/>
      <c r="M663" s="581"/>
      <c r="N663" s="582" t="s">
        <v>325</v>
      </c>
    </row>
    <row r="664" ht="15" customHeight="1">
      <c r="H664" s="583" t="s">
        <v>117</v>
      </c>
      <c r="I664" s="583" t="s">
        <v>117</v>
      </c>
      <c r="J664" s="584" t="s">
        <v>117</v>
      </c>
      <c r="K664" s="584" t="s">
        <v>117</v>
      </c>
      <c r="L664" s="584" t="s">
        <v>117</v>
      </c>
      <c r="M664" s="695" t="s">
        <v>117</v>
      </c>
      <c r="N664" s="695" t="s">
        <v>117</v>
      </c>
    </row>
    <row r="665" ht="15" customHeight="1">
      <c r="B665" s="669" t="s">
        <v>14</v>
      </c>
      <c r="C665" s="670">
        <f>C461</f>
        <v>0.095866057127655321</v>
      </c>
      <c r="F665" s="587" t="s">
        <v>304</v>
      </c>
      <c r="H665" s="588">
        <f>EOMONTH(I665,-12)</f>
        <v>44926</v>
      </c>
      <c r="I665" s="696">
        <v>45291</v>
      </c>
      <c r="J665" s="589">
        <f t="shared" ref="J665:J666" si="275">EOMONTH(I665,12)</f>
        <v>45657</v>
      </c>
      <c r="K665" s="589">
        <f t="shared" ref="K665:M666" si="276">EOMONTH(J665,12)</f>
        <v>46022</v>
      </c>
      <c r="L665" s="589">
        <f t="shared" si="276"/>
        <v>46387</v>
      </c>
      <c r="M665" s="697">
        <f t="shared" si="276"/>
        <v>46752</v>
      </c>
      <c r="N665" s="697">
        <f t="shared" ref="N665:N666" si="277">M665</f>
        <v>46752</v>
      </c>
    </row>
    <row r="666" ht="15" customHeight="1">
      <c r="F666" s="587" t="s">
        <v>305</v>
      </c>
      <c r="H666" s="698">
        <f>H665</f>
        <v>44926</v>
      </c>
      <c r="I666" s="699">
        <v>45107</v>
      </c>
      <c r="J666" s="700">
        <f t="shared" si="275"/>
        <v>45473</v>
      </c>
      <c r="K666" s="700">
        <f t="shared" si="276"/>
        <v>45838</v>
      </c>
      <c r="L666" s="700">
        <f t="shared" si="276"/>
        <v>46203</v>
      </c>
      <c r="M666" s="700">
        <f t="shared" si="276"/>
        <v>46568</v>
      </c>
      <c r="N666" s="592">
        <f t="shared" si="277"/>
        <v>46568</v>
      </c>
    </row>
    <row r="669" ht="15" customHeight="1">
      <c r="F669" s="388">
        <f t="shared" si="271"/>
        <v>2020</v>
      </c>
      <c r="G669" s="388">
        <f t="shared" si="271"/>
        <v>2021</v>
      </c>
      <c r="H669" s="388">
        <f t="shared" si="271"/>
        <v>2022</v>
      </c>
      <c r="I669" s="389">
        <f t="shared" si="271"/>
        <v>2023</v>
      </c>
      <c r="J669" s="389">
        <f t="shared" si="271"/>
        <v>2024</v>
      </c>
      <c r="K669" s="389">
        <f t="shared" si="271"/>
        <v>2025</v>
      </c>
      <c r="L669" s="389">
        <f t="shared" si="271"/>
        <v>2026</v>
      </c>
      <c r="M669" s="389">
        <f t="shared" si="271"/>
        <v>2027</v>
      </c>
      <c r="N669" s="177" t="str">
        <f t="shared" si="271"/>
        <v>Term</v>
      </c>
    </row>
    <row r="670" ht="15" customHeight="1">
      <c r="B670" s="630" t="s">
        <v>350</v>
      </c>
      <c r="I670" s="465">
        <f>I636</f>
        <v>9819.6608674657527</v>
      </c>
      <c r="J670" s="465">
        <f>J636</f>
        <v>11491.026436417724</v>
      </c>
      <c r="K670" s="465">
        <f>K636</f>
        <v>7948.0250767165098</v>
      </c>
      <c r="L670" s="465">
        <f>L636</f>
        <v>11917.101046292346</v>
      </c>
      <c r="M670" s="465">
        <f>M636</f>
        <v>11775.828791650811</v>
      </c>
    </row>
    <row r="671" ht="15" customHeight="1">
      <c r="B671" s="630" t="s">
        <v>371</v>
      </c>
      <c r="H671" s="134"/>
      <c r="I671" s="134"/>
      <c r="J671" s="134"/>
      <c r="K671" s="134"/>
      <c r="L671" s="134"/>
      <c r="M671" s="472">
        <f>M633</f>
        <v>139912.42699377707</v>
      </c>
    </row>
    <row r="672" ht="15" customHeight="1">
      <c r="B672" s="630" t="s">
        <v>357</v>
      </c>
      <c r="H672" s="400">
        <v>0</v>
      </c>
      <c r="I672" s="465">
        <f>SUM(I670:I671)</f>
        <v>9819.6608674657527</v>
      </c>
      <c r="J672" s="465">
        <f t="shared" ref="J672:M672" si="278">SUM(J670:J671)</f>
        <v>11491.026436417724</v>
      </c>
      <c r="K672" s="465">
        <f t="shared" si="278"/>
        <v>7948.0250767165098</v>
      </c>
      <c r="L672" s="465">
        <f t="shared" si="278"/>
        <v>11917.101046292346</v>
      </c>
      <c r="M672" s="465">
        <f t="shared" si="278"/>
        <v>151688.25578542787</v>
      </c>
    </row>
    <row r="675" ht="15" customHeight="1">
      <c r="B675" s="306" t="s">
        <v>372</v>
      </c>
    </row>
    <row r="676" ht="15" customHeight="1">
      <c r="B676" s="630" t="s">
        <v>358</v>
      </c>
      <c r="H676" s="134"/>
      <c r="I676" s="701">
        <f>(I665-$H665)/365</f>
        <v>1</v>
      </c>
      <c r="J676" s="701">
        <f t="shared" ref="J676:M676" si="279">(J665-$H665)/365</f>
        <v>2.0027397260273974</v>
      </c>
      <c r="K676" s="701">
        <f t="shared" si="279"/>
        <v>3.0027397260273974</v>
      </c>
      <c r="L676" s="701">
        <f t="shared" si="279"/>
        <v>4.0027397260273974</v>
      </c>
      <c r="M676" s="701">
        <f t="shared" si="279"/>
        <v>5.0027397260273974</v>
      </c>
      <c r="N676" s="626"/>
    </row>
    <row r="677" ht="15" customHeight="1">
      <c r="B677" s="630" t="s">
        <v>359</v>
      </c>
      <c r="H677" s="400">
        <v>0</v>
      </c>
      <c r="I677" s="465">
        <f>I672/(1+$C$665)^I676</f>
        <v>8960.6396727021529</v>
      </c>
      <c r="J677" s="465">
        <f t="shared" ref="J677:M677" si="280">J672/(1+$C$665)^J676</f>
        <v>9566.1006987601795</v>
      </c>
      <c r="K677" s="465">
        <f t="shared" si="280"/>
        <v>6037.7882458418799</v>
      </c>
      <c r="L677" s="465">
        <f t="shared" si="280"/>
        <v>8260.9842702121732</v>
      </c>
      <c r="M677" s="465">
        <f t="shared" si="280"/>
        <v>95952.358802489747</v>
      </c>
    </row>
    <row r="678" ht="15" customHeight="1">
      <c r="B678" s="630" t="s">
        <v>318</v>
      </c>
      <c r="F678" s="465">
        <f>SUM(I677:M677)</f>
        <v>128777.87169000614</v>
      </c>
    </row>
    <row r="679" ht="15" customHeight="1">
      <c r="B679" s="630" t="s">
        <v>25</v>
      </c>
      <c r="E679" s="606" t="s">
        <v>322</v>
      </c>
      <c r="F679" s="702">
        <f>(F678+$D$647)/$E$652</f>
        <v>3.4265459295323435</v>
      </c>
    </row>
    <row r="680" ht="15" customHeight="1">
      <c r="B680" s="630"/>
      <c r="F680" s="628"/>
    </row>
    <row r="681" ht="15" customHeight="1">
      <c r="B681" s="306" t="s">
        <v>373</v>
      </c>
    </row>
    <row r="682" ht="15" customHeight="1">
      <c r="B682" s="630" t="s">
        <v>358</v>
      </c>
      <c r="H682" s="134"/>
      <c r="I682" s="701">
        <f>(I666-$H$666)/365</f>
        <v>0.49589041095890413</v>
      </c>
      <c r="J682" s="701">
        <f t="shared" ref="J682:M682" si="281">(J666-$H$666)/365</f>
        <v>1.4986301369863013</v>
      </c>
      <c r="K682" s="701">
        <f t="shared" si="281"/>
        <v>2.4986301369863013</v>
      </c>
      <c r="L682" s="701">
        <f t="shared" si="281"/>
        <v>3.4986301369863013</v>
      </c>
      <c r="M682" s="701">
        <f t="shared" si="281"/>
        <v>4.4986301369863018</v>
      </c>
    </row>
    <row r="683" ht="15" customHeight="1">
      <c r="B683" s="630" t="s">
        <v>359</v>
      </c>
      <c r="H683" s="400">
        <v>0</v>
      </c>
      <c r="I683" s="465">
        <f>I672/(1+$C$665)^I682</f>
        <v>9383.8517578152187</v>
      </c>
      <c r="J683" s="465">
        <f t="shared" ref="J683:M683" si="282">J672/(1+$C$665)^J682</f>
        <v>10017.90878066054</v>
      </c>
      <c r="K683" s="465">
        <f t="shared" si="282"/>
        <v>6322.9537079436868</v>
      </c>
      <c r="L683" s="465">
        <f t="shared" si="282"/>
        <v>8651.1515468557627</v>
      </c>
      <c r="M683" s="465">
        <f t="shared" si="282"/>
        <v>100484.20020261078</v>
      </c>
    </row>
    <row r="684" ht="15" customHeight="1">
      <c r="B684" s="630" t="s">
        <v>318</v>
      </c>
      <c r="F684" s="465">
        <f>SUM(I683:M683)</f>
        <v>134860.06599588599</v>
      </c>
    </row>
    <row r="685" ht="15" customHeight="1">
      <c r="B685" s="630" t="s">
        <v>25</v>
      </c>
      <c r="E685" s="606" t="s">
        <v>322</v>
      </c>
      <c r="F685" s="702">
        <f>(F684+$D$647)/$E$652</f>
        <v>3.6043878683007602</v>
      </c>
    </row>
    <row r="686" ht="15" customHeight="1">
      <c r="B686" s="630"/>
      <c r="F686" s="628"/>
    </row>
    <row r="687" ht="15" customHeight="1">
      <c r="B687" s="306" t="s">
        <v>374</v>
      </c>
    </row>
    <row r="688" ht="15" customHeight="1">
      <c r="B688" s="630" t="s">
        <v>318</v>
      </c>
      <c r="F688" s="465">
        <f>NPV(C665,I672:M672)+H672</f>
        <v>128807.92659573094</v>
      </c>
      <c r="H688" s="626"/>
    </row>
    <row r="689" ht="15" customHeight="1">
      <c r="B689" s="630" t="s">
        <v>25</v>
      </c>
      <c r="E689" s="606" t="s">
        <v>322</v>
      </c>
      <c r="F689" s="702">
        <f>(F688+$D$647)/$E$652</f>
        <v>3.4274247279453491</v>
      </c>
      <c r="H689" s="626"/>
    </row>
    <row r="690" ht="15" customHeight="1">
      <c r="B690" s="630"/>
      <c r="F690" s="628"/>
      <c r="H690" s="626"/>
    </row>
    <row r="691" ht="15" customHeight="1">
      <c r="B691" s="306" t="s">
        <v>375</v>
      </c>
      <c r="H691" s="626"/>
    </row>
    <row r="692" ht="15" customHeight="1">
      <c r="B692" s="630" t="s">
        <v>318</v>
      </c>
      <c r="F692" s="465">
        <f>XNPV(C665,H672:M672,H665:M665)</f>
        <v>128777.87169000614</v>
      </c>
      <c r="H692" s="626"/>
    </row>
    <row r="693" ht="15" customHeight="1">
      <c r="B693" s="630" t="s">
        <v>25</v>
      </c>
      <c r="E693" s="606" t="s">
        <v>322</v>
      </c>
      <c r="F693" s="702">
        <f>(F692+$D$647)/$E$652</f>
        <v>3.4265459295323435</v>
      </c>
      <c r="H693" s="626"/>
    </row>
    <row r="694" ht="15" customHeight="1">
      <c r="B694" s="630"/>
      <c r="F694" s="628"/>
      <c r="H694" s="626"/>
    </row>
    <row r="695" ht="15" customHeight="1">
      <c r="B695" s="306" t="s">
        <v>376</v>
      </c>
      <c r="H695" s="626"/>
    </row>
    <row r="696" ht="15" customHeight="1">
      <c r="B696" s="630" t="s">
        <v>318</v>
      </c>
      <c r="F696" s="465">
        <f>XNPV(C665,H672:M672,H666:M666)</f>
        <v>134860.06599588599</v>
      </c>
      <c r="H696" s="626"/>
    </row>
    <row r="697" ht="15" customHeight="1">
      <c r="B697" s="630" t="s">
        <v>25</v>
      </c>
      <c r="E697" s="606" t="s">
        <v>322</v>
      </c>
      <c r="F697" s="702">
        <f>(F696+$D$647)/$E$652</f>
        <v>3.6043878683007602</v>
      </c>
      <c r="H697" s="626"/>
    </row>
    <row r="698" ht="15" customHeight="1">
      <c r="B698" s="630"/>
      <c r="F698" s="628"/>
      <c r="H698" s="626"/>
    </row>
    <row r="699" ht="15" customHeight="1">
      <c r="B699" s="307"/>
      <c r="N699" s="703" t="s">
        <v>377</v>
      </c>
    </row>
    <row r="700" ht="15" customHeight="1">
      <c r="B700" s="307"/>
      <c r="N700" s="693" t="s">
        <v>378</v>
      </c>
    </row>
    <row r="701" ht="15" customHeight="1">
      <c r="B701" s="307"/>
      <c r="N701" s="703" t="s">
        <v>379</v>
      </c>
    </row>
    <row r="702" ht="15" customHeight="1">
      <c r="B702" s="307"/>
      <c r="N702" s="703" t="s">
        <v>380</v>
      </c>
    </row>
    <row r="703" ht="15" customHeight="1">
      <c r="B703" s="307"/>
      <c r="N703" s="694" t="s">
        <v>381</v>
      </c>
    </row>
    <row r="704" ht="15" customHeight="1">
      <c r="B704" s="307"/>
      <c r="N704" s="694"/>
    </row>
    <row r="705" ht="15" customHeight="1">
      <c r="B705" s="650"/>
      <c r="C705" s="134"/>
      <c r="D705" s="134"/>
      <c r="E705" s="134"/>
      <c r="F705" s="134"/>
      <c r="G705" s="134"/>
      <c r="H705" s="134"/>
      <c r="I705" s="134"/>
      <c r="J705" s="134"/>
      <c r="K705" s="134"/>
      <c r="L705" s="134"/>
      <c r="M705" s="134"/>
      <c r="N705" s="704"/>
    </row>
    <row r="706" ht="15" customHeight="1">
      <c r="B706" s="307"/>
      <c r="N706" s="694"/>
    </row>
    <row r="707" ht="15" customHeight="1">
      <c r="B707" s="434" t="s">
        <v>382</v>
      </c>
      <c r="C707" s="435"/>
      <c r="D707" s="622"/>
      <c r="E707" s="622"/>
      <c r="F707" s="437"/>
      <c r="G707" s="437"/>
      <c r="H707" s="437"/>
      <c r="I707" s="623"/>
      <c r="J707" s="624"/>
      <c r="K707" s="624"/>
      <c r="L707" s="624"/>
      <c r="M707" s="624"/>
      <c r="N707" s="624"/>
    </row>
    <row r="708" ht="15" customHeight="1">
      <c r="B708" s="307"/>
    </row>
    <row r="709" ht="15" customHeight="1">
      <c r="B709" s="11" t="s">
        <v>3</v>
      </c>
      <c r="H709" s="579" t="s">
        <v>130</v>
      </c>
      <c r="I709" s="580" t="s">
        <v>302</v>
      </c>
      <c r="J709" s="581"/>
      <c r="K709" s="581"/>
      <c r="L709" s="581"/>
      <c r="M709" s="581"/>
      <c r="N709" s="582" t="s">
        <v>325</v>
      </c>
    </row>
    <row r="710" ht="15" customHeight="1">
      <c r="H710" s="583" t="s">
        <v>117</v>
      </c>
      <c r="I710" s="583" t="s">
        <v>117</v>
      </c>
      <c r="J710" s="584" t="s">
        <v>117</v>
      </c>
      <c r="K710" s="584" t="s">
        <v>117</v>
      </c>
      <c r="L710" s="584" t="s">
        <v>117</v>
      </c>
      <c r="M710" s="695" t="s">
        <v>117</v>
      </c>
      <c r="N710" s="695" t="s">
        <v>117</v>
      </c>
    </row>
    <row r="711" ht="15" customHeight="1">
      <c r="B711" s="669" t="s">
        <v>14</v>
      </c>
      <c r="C711" s="670">
        <f>C461</f>
        <v>0.095866057127655321</v>
      </c>
      <c r="F711" s="587" t="s">
        <v>304</v>
      </c>
      <c r="H711" s="588">
        <f>EOMONTH(I711,-12)</f>
        <v>44926</v>
      </c>
      <c r="I711" s="696">
        <v>45291</v>
      </c>
      <c r="J711" s="589">
        <f t="shared" ref="J711:J712" si="283">EOMONTH(I711,12)</f>
        <v>45657</v>
      </c>
      <c r="K711" s="589">
        <f t="shared" ref="K711:M712" si="284">EOMONTH(J711,12)</f>
        <v>46022</v>
      </c>
      <c r="L711" s="589">
        <f t="shared" si="284"/>
        <v>46387</v>
      </c>
      <c r="M711" s="697">
        <f t="shared" si="284"/>
        <v>46752</v>
      </c>
      <c r="N711" s="697">
        <f t="shared" ref="N711:N712" si="285">M711</f>
        <v>46752</v>
      </c>
    </row>
    <row r="712" ht="15" customHeight="1">
      <c r="F712" s="587" t="s">
        <v>305</v>
      </c>
      <c r="H712" s="698">
        <f>H711</f>
        <v>44926</v>
      </c>
      <c r="I712" s="699">
        <v>45107</v>
      </c>
      <c r="J712" s="700">
        <f t="shared" si="283"/>
        <v>45473</v>
      </c>
      <c r="K712" s="700">
        <f t="shared" si="284"/>
        <v>45838</v>
      </c>
      <c r="L712" s="700">
        <f t="shared" si="284"/>
        <v>46203</v>
      </c>
      <c r="M712" s="700">
        <f t="shared" si="284"/>
        <v>46568</v>
      </c>
      <c r="N712" s="592">
        <f t="shared" si="285"/>
        <v>46568</v>
      </c>
    </row>
    <row r="713" ht="15" customHeight="1">
      <c r="B713" s="307"/>
    </row>
    <row r="714" ht="15" customHeight="1">
      <c r="B714" s="307"/>
    </row>
    <row r="715" ht="15" customHeight="1">
      <c r="F715" s="388">
        <f t="shared" ref="F715:N715" si="286">F$3</f>
        <v>2020</v>
      </c>
      <c r="G715" s="388">
        <f t="shared" si="286"/>
        <v>2021</v>
      </c>
      <c r="H715" s="388">
        <f t="shared" si="286"/>
        <v>2022</v>
      </c>
      <c r="I715" s="389">
        <f t="shared" si="286"/>
        <v>2023</v>
      </c>
      <c r="J715" s="389">
        <f t="shared" si="286"/>
        <v>2024</v>
      </c>
      <c r="K715" s="389">
        <f t="shared" si="286"/>
        <v>2025</v>
      </c>
      <c r="L715" s="389">
        <f t="shared" si="286"/>
        <v>2026</v>
      </c>
      <c r="M715" s="389">
        <f t="shared" si="286"/>
        <v>2027</v>
      </c>
      <c r="N715" s="177" t="str">
        <f t="shared" si="286"/>
        <v>Term</v>
      </c>
    </row>
    <row r="716" ht="15" customHeight="1">
      <c r="B716" s="630" t="s">
        <v>350</v>
      </c>
      <c r="I716" s="465">
        <f>I636</f>
        <v>9819.6608674657527</v>
      </c>
      <c r="J716" s="465">
        <f>J636</f>
        <v>11491.026436417724</v>
      </c>
      <c r="K716" s="465">
        <f>K636</f>
        <v>7948.0250767165098</v>
      </c>
      <c r="L716" s="465">
        <f>L636</f>
        <v>11917.101046292346</v>
      </c>
      <c r="M716" s="465">
        <f>M636</f>
        <v>11775.828791650811</v>
      </c>
    </row>
    <row r="717" ht="15" customHeight="1">
      <c r="B717" s="630" t="s">
        <v>371</v>
      </c>
      <c r="H717" s="134"/>
      <c r="I717" s="134"/>
      <c r="J717" s="134"/>
      <c r="K717" s="134"/>
      <c r="L717" s="134"/>
      <c r="M717" s="472">
        <f>M633</f>
        <v>139912.42699377707</v>
      </c>
    </row>
    <row r="718" ht="15" customHeight="1">
      <c r="B718" s="630" t="s">
        <v>357</v>
      </c>
      <c r="H718" s="400">
        <v>-20000</v>
      </c>
      <c r="I718" s="465">
        <f>SUM(I670:I671)</f>
        <v>9819.6608674657527</v>
      </c>
      <c r="J718" s="465">
        <f>SUM(J670:J671)</f>
        <v>11491.026436417724</v>
      </c>
      <c r="K718" s="465">
        <f>SUM(K670:K671)</f>
        <v>7948.0250767165098</v>
      </c>
      <c r="L718" s="465">
        <f>SUM(L670:L671)</f>
        <v>11917.101046292346</v>
      </c>
      <c r="M718" s="465">
        <f>SUM(M670:M671)</f>
        <v>151688.25578542787</v>
      </c>
    </row>
    <row r="719" ht="15" customHeight="1">
      <c r="B719" s="307"/>
    </row>
    <row r="720" ht="15" customHeight="1">
      <c r="B720" s="306" t="s">
        <v>383</v>
      </c>
    </row>
    <row r="721" ht="15" customHeight="1">
      <c r="B721" s="630" t="s">
        <v>384</v>
      </c>
      <c r="F721" s="705">
        <f>IRR(H718:M718)</f>
        <v>0.78640097015868005</v>
      </c>
    </row>
    <row r="722" ht="15" customHeight="1">
      <c r="B722" s="307"/>
    </row>
    <row r="723" ht="15" customHeight="1">
      <c r="B723" s="306" t="s">
        <v>385</v>
      </c>
    </row>
    <row r="724" ht="15" customHeight="1">
      <c r="B724" s="630" t="s">
        <v>384</v>
      </c>
      <c r="F724" s="705">
        <f>XIRR(H718:M718,H711:M711)</f>
        <v>0.78575044870376609</v>
      </c>
    </row>
    <row r="725" ht="15" customHeight="1">
      <c r="B725" s="630"/>
      <c r="F725" s="671"/>
    </row>
    <row r="726" ht="15" customHeight="1">
      <c r="B726" s="306" t="s">
        <v>386</v>
      </c>
      <c r="F726" s="671"/>
    </row>
    <row r="727" ht="15" customHeight="1">
      <c r="B727" s="630" t="s">
        <v>384</v>
      </c>
      <c r="F727" s="705">
        <f>XIRR(H718:M718,H712:M712)</f>
        <v>1.0086370825767519</v>
      </c>
    </row>
    <row r="728" ht="15" customHeight="1">
      <c r="B728" s="307"/>
      <c r="N728" s="703" t="s">
        <v>387</v>
      </c>
    </row>
    <row r="729" ht="15" customHeight="1">
      <c r="N729" s="693" t="s">
        <v>388</v>
      </c>
    </row>
    <row r="730" ht="15" customHeight="1">
      <c r="N730" s="693"/>
    </row>
    <row r="731" ht="15" customHeight="1">
      <c r="B731" s="134"/>
      <c r="C731" s="134"/>
      <c r="D731" s="134"/>
      <c r="E731" s="134"/>
      <c r="F731" s="134"/>
      <c r="G731" s="134"/>
      <c r="H731" s="134"/>
      <c r="I731" s="134"/>
      <c r="J731" s="134"/>
      <c r="K731" s="134"/>
      <c r="L731" s="134"/>
      <c r="M731" s="134"/>
      <c r="N731" s="706"/>
    </row>
    <row r="733" ht="15" customHeight="1">
      <c r="B733" s="434" t="s">
        <v>389</v>
      </c>
      <c r="C733" s="435"/>
      <c r="D733" s="622"/>
      <c r="E733" s="622"/>
      <c r="F733" s="437"/>
      <c r="G733" s="437"/>
      <c r="H733" s="437"/>
      <c r="I733" s="623"/>
      <c r="J733" s="624"/>
      <c r="K733" s="624"/>
      <c r="L733" s="624"/>
      <c r="M733" s="624"/>
      <c r="N733" s="624"/>
    </row>
    <row r="735" ht="15" customHeight="1">
      <c r="D735" s="707" t="s">
        <v>24</v>
      </c>
      <c r="E735" s="708"/>
      <c r="F735" s="708"/>
      <c r="G735" s="708"/>
      <c r="H735" s="708"/>
    </row>
    <row r="736" ht="15" customHeight="1">
      <c r="D736" s="77"/>
      <c r="E736" s="78"/>
      <c r="F736" s="78"/>
      <c r="G736" s="78"/>
      <c r="H736" s="78"/>
    </row>
    <row r="737" ht="15" customHeight="1">
      <c r="D737" s="709" t="s">
        <v>390</v>
      </c>
      <c r="E737" s="709"/>
      <c r="F737" s="709"/>
      <c r="G737" s="709"/>
      <c r="H737" s="709"/>
    </row>
    <row r="738" ht="15" customHeight="1">
      <c r="B738" s="307"/>
      <c r="C738" s="598">
        <f>E653</f>
        <v>3.4274247279453487</v>
      </c>
      <c r="D738" s="710">
        <f>+E738-0.005</f>
        <v>0</v>
      </c>
      <c r="E738" s="710">
        <f>+F738-0.005</f>
        <v>0.0050000000000000001</v>
      </c>
      <c r="F738" s="711">
        <v>0.01</v>
      </c>
      <c r="G738" s="710">
        <f>+F738+0.005</f>
        <v>0.014999999999999999</v>
      </c>
      <c r="H738" s="710">
        <f>+G738+0.005</f>
        <v>0.02</v>
      </c>
      <c r="I738" s="307"/>
      <c r="J738" s="307"/>
      <c r="K738" s="307"/>
      <c r="L738" s="307"/>
      <c r="M738" s="307"/>
      <c r="N738" s="307"/>
    </row>
    <row r="739" ht="15" customHeight="1">
      <c r="B739" s="712" t="s">
        <v>14</v>
      </c>
      <c r="C739" s="713">
        <f t="shared" ref="C739:C740" si="287">+C740+0.01</f>
        <v>0.11586605712765531</v>
      </c>
      <c r="D739" s="714">
        <v>2.8323071530074224</v>
      </c>
      <c r="E739" s="715">
        <v>2.8755288969103932</v>
      </c>
      <c r="F739" s="715">
        <v>2.9228333227489767</v>
      </c>
      <c r="G739" s="715">
        <v>2.9748275745989723</v>
      </c>
      <c r="H739" s="715">
        <v>3.0322454616132637</v>
      </c>
      <c r="I739" s="307"/>
      <c r="J739" s="307"/>
      <c r="K739" s="307"/>
      <c r="L739" s="307"/>
      <c r="M739" s="307"/>
      <c r="N739" s="307"/>
    </row>
    <row r="740" ht="15" customHeight="1">
      <c r="B740" s="712"/>
      <c r="C740" s="713">
        <f t="shared" si="287"/>
        <v>0.10586605712765532</v>
      </c>
      <c r="D740" s="715">
        <v>3.0408967768330095</v>
      </c>
      <c r="E740" s="715">
        <v>3.0947973631536314</v>
      </c>
      <c r="F740" s="715">
        <v>3.154320438594552</v>
      </c>
      <c r="G740" s="715">
        <v>3.2203941532204983</v>
      </c>
      <c r="H740" s="715">
        <v>3.2941628426521152</v>
      </c>
      <c r="I740" s="307"/>
      <c r="J740" s="307"/>
      <c r="K740" s="307"/>
      <c r="L740" s="307"/>
      <c r="M740" s="307"/>
      <c r="N740" s="307"/>
    </row>
    <row r="741" ht="15" customHeight="1">
      <c r="B741" s="712"/>
      <c r="C741" s="716">
        <v>0.095866057127655321</v>
      </c>
      <c r="D741" s="715">
        <v>3.2824076692034434</v>
      </c>
      <c r="E741" s="715">
        <v>3.3509263407736398</v>
      </c>
      <c r="F741" s="717">
        <v>3.4274247279453487</v>
      </c>
      <c r="G741" s="715">
        <v>3.5133830034668692</v>
      </c>
      <c r="H741" s="715">
        <v>3.6106715469337627</v>
      </c>
      <c r="I741" s="307"/>
      <c r="J741" s="307"/>
      <c r="K741" s="307"/>
      <c r="L741" s="307"/>
      <c r="M741" s="307"/>
      <c r="N741" s="307"/>
    </row>
    <row r="742" ht="15" customHeight="1">
      <c r="B742" s="712"/>
      <c r="C742" s="713">
        <f t="shared" ref="C742:C743" si="288">+C741-0.01</f>
        <v>0.085866057127655326</v>
      </c>
      <c r="D742" s="715">
        <v>3.5673038873232881</v>
      </c>
      <c r="E742" s="715">
        <v>3.6564726139796226</v>
      </c>
      <c r="F742" s="715">
        <v>3.7573947821659806</v>
      </c>
      <c r="G742" s="715">
        <v>3.8725582066430011</v>
      </c>
      <c r="H742" s="715">
        <v>4.0052061185023193</v>
      </c>
      <c r="I742" s="307"/>
      <c r="J742" s="307"/>
      <c r="K742" s="307"/>
      <c r="L742" s="307"/>
      <c r="M742" s="307"/>
      <c r="N742" s="307"/>
    </row>
    <row r="743" ht="15" customHeight="1">
      <c r="B743" s="712"/>
      <c r="C743" s="713">
        <f t="shared" si="288"/>
        <v>0.075866057127655331</v>
      </c>
      <c r="D743" s="715">
        <v>3.9114608240082247</v>
      </c>
      <c r="E743" s="715">
        <v>4.0309660170241415</v>
      </c>
      <c r="F743" s="715">
        <v>4.1686148789079693</v>
      </c>
      <c r="G743" s="715">
        <v>4.3288787857576851</v>
      </c>
      <c r="H743" s="715">
        <v>4.5178298624363942</v>
      </c>
      <c r="I743" s="307"/>
      <c r="J743" s="307"/>
      <c r="K743" s="307"/>
      <c r="L743" s="307"/>
      <c r="M743" s="307"/>
      <c r="N743" s="307"/>
    </row>
    <row r="744" ht="15" customHeight="1">
      <c r="B744" s="307"/>
      <c r="C744" s="307"/>
      <c r="D744" s="307"/>
      <c r="E744" s="307"/>
      <c r="F744" s="307"/>
      <c r="G744" s="307"/>
      <c r="H744" s="307"/>
      <c r="I744" s="307"/>
      <c r="J744" s="307"/>
      <c r="K744" s="307"/>
      <c r="L744" s="307"/>
      <c r="M744" s="307"/>
      <c r="N744" s="307"/>
    </row>
    <row r="745" ht="15" customHeight="1">
      <c r="B745" s="307"/>
      <c r="C745" s="307"/>
      <c r="D745" s="307"/>
      <c r="E745" s="307"/>
      <c r="F745" s="307"/>
      <c r="G745" s="307"/>
      <c r="H745" s="307"/>
      <c r="I745" s="307"/>
      <c r="J745" s="307"/>
      <c r="K745" s="307"/>
      <c r="L745" s="307"/>
      <c r="M745" s="307"/>
      <c r="N745" s="307"/>
    </row>
    <row r="746" ht="15" customHeight="1">
      <c r="D746" s="707" t="s">
        <v>24</v>
      </c>
      <c r="E746" s="708"/>
      <c r="F746" s="708"/>
      <c r="G746" s="708"/>
      <c r="H746" s="708"/>
      <c r="I746" s="307"/>
      <c r="J746" s="307"/>
      <c r="K746" s="307"/>
      <c r="L746" s="307"/>
      <c r="M746" s="307"/>
      <c r="N746" s="307"/>
    </row>
    <row r="747" ht="15" customHeight="1">
      <c r="D747" s="77"/>
      <c r="E747" s="78"/>
      <c r="F747" s="78"/>
      <c r="G747" s="78"/>
      <c r="H747" s="78"/>
      <c r="I747" s="307"/>
      <c r="J747" s="307"/>
      <c r="K747" s="307"/>
      <c r="L747" s="307"/>
      <c r="M747" s="307"/>
      <c r="N747" s="307"/>
    </row>
    <row r="748" ht="15" customHeight="1">
      <c r="D748" s="709" t="s">
        <v>29</v>
      </c>
      <c r="E748" s="709"/>
      <c r="F748" s="709"/>
      <c r="G748" s="709"/>
      <c r="H748" s="709"/>
      <c r="I748" s="307"/>
      <c r="J748" s="307"/>
      <c r="K748" s="307"/>
      <c r="L748" s="307"/>
      <c r="M748" s="307"/>
      <c r="N748" s="307"/>
    </row>
    <row r="749" ht="15" customHeight="1">
      <c r="B749" s="307"/>
      <c r="C749" s="598">
        <f>E653</f>
        <v>3.4274247279453487</v>
      </c>
      <c r="D749" s="718">
        <f>+E749-1</f>
        <v>5</v>
      </c>
      <c r="E749" s="718">
        <f>+F749-1</f>
        <v>6</v>
      </c>
      <c r="F749" s="719">
        <v>7</v>
      </c>
      <c r="G749" s="718">
        <f>F749+1</f>
        <v>8</v>
      </c>
      <c r="H749" s="718">
        <f>G749+1</f>
        <v>9</v>
      </c>
      <c r="I749" s="307"/>
      <c r="J749" s="307"/>
      <c r="K749" s="307"/>
      <c r="L749" s="307"/>
      <c r="M749" s="307"/>
      <c r="N749" s="307"/>
    </row>
    <row r="750" ht="15" customHeight="1">
      <c r="B750" s="712" t="s">
        <v>14</v>
      </c>
      <c r="C750" s="713">
        <f t="shared" ref="C750:C751" si="289">+C751+0.01</f>
        <v>0.11586605712765531</v>
      </c>
      <c r="D750" s="714">
        <v>2.5816456528561238</v>
      </c>
      <c r="E750" s="715">
        <v>2.7522394878025507</v>
      </c>
      <c r="F750" s="715">
        <v>2.9228333227489767</v>
      </c>
      <c r="G750" s="715">
        <v>3.0934271576954036</v>
      </c>
      <c r="H750" s="715">
        <v>3.2640209926418295</v>
      </c>
      <c r="I750" s="307"/>
      <c r="J750" s="307"/>
      <c r="K750" s="307"/>
      <c r="L750" s="307"/>
      <c r="M750" s="307"/>
      <c r="N750" s="307"/>
    </row>
    <row r="751" ht="15" customHeight="1">
      <c r="B751" s="712"/>
      <c r="C751" s="713">
        <f t="shared" si="289"/>
        <v>0.10586605712765532</v>
      </c>
      <c r="D751" s="715">
        <v>2.7974249791110348</v>
      </c>
      <c r="E751" s="715">
        <v>2.9758727088527936</v>
      </c>
      <c r="F751" s="715">
        <v>3.154320438594552</v>
      </c>
      <c r="G751" s="715">
        <v>3.3327681683363108</v>
      </c>
      <c r="H751" s="715">
        <v>3.5112158980780706</v>
      </c>
      <c r="I751" s="307"/>
      <c r="J751" s="307"/>
      <c r="K751" s="307"/>
      <c r="L751" s="307"/>
      <c r="M751" s="307"/>
      <c r="N751" s="307"/>
    </row>
    <row r="752" ht="15" customHeight="1">
      <c r="B752" s="712"/>
      <c r="C752" s="716">
        <v>0.095866057127655321</v>
      </c>
      <c r="D752" s="715">
        <v>3.0539456425445097</v>
      </c>
      <c r="E752" s="715">
        <v>3.2406851852449297</v>
      </c>
      <c r="F752" s="717">
        <v>3.4274247279453487</v>
      </c>
      <c r="G752" s="715">
        <v>3.6141642706457686</v>
      </c>
      <c r="H752" s="715">
        <v>3.800903813346189</v>
      </c>
      <c r="I752" s="307"/>
      <c r="J752" s="307"/>
      <c r="K752" s="307"/>
      <c r="L752" s="307"/>
      <c r="M752" s="307"/>
      <c r="N752" s="307"/>
    </row>
    <row r="753" ht="15" customHeight="1">
      <c r="B753" s="712"/>
      <c r="C753" s="713">
        <f t="shared" ref="C753:C754" si="290">+C752-0.01</f>
        <v>0.085866057127655326</v>
      </c>
      <c r="D753" s="715">
        <v>3.3663987276594862</v>
      </c>
      <c r="E753" s="715">
        <v>3.5618967549127336</v>
      </c>
      <c r="F753" s="715">
        <v>3.7573947821659806</v>
      </c>
      <c r="G753" s="715">
        <v>3.9528928094192297</v>
      </c>
      <c r="H753" s="715">
        <v>4.1483908366724762</v>
      </c>
      <c r="I753" s="307"/>
      <c r="J753" s="307"/>
      <c r="K753" s="307"/>
      <c r="L753" s="307"/>
      <c r="M753" s="307"/>
      <c r="N753" s="307"/>
    </row>
    <row r="754" ht="15" customHeight="1">
      <c r="B754" s="712"/>
      <c r="C754" s="713">
        <f t="shared" si="290"/>
        <v>0.075866057127655331</v>
      </c>
      <c r="D754" s="715">
        <v>3.7591066492422462</v>
      </c>
      <c r="E754" s="715">
        <v>3.963860764075108</v>
      </c>
      <c r="F754" s="715">
        <v>4.1686148789079693</v>
      </c>
      <c r="G754" s="715">
        <v>4.3733689937408293</v>
      </c>
      <c r="H754" s="715">
        <v>4.5781231085736902</v>
      </c>
      <c r="I754" s="307"/>
      <c r="J754" s="307"/>
      <c r="K754" s="307"/>
      <c r="L754" s="307"/>
      <c r="M754" s="307"/>
      <c r="N754" s="307"/>
    </row>
    <row r="755" ht="15" customHeight="1">
      <c r="B755" s="307"/>
      <c r="C755" s="307"/>
      <c r="D755" s="307"/>
      <c r="E755" s="307"/>
      <c r="F755" s="307"/>
      <c r="G755" s="307"/>
      <c r="H755" s="307"/>
      <c r="I755" s="307"/>
      <c r="J755" s="307"/>
      <c r="K755" s="307"/>
      <c r="L755" s="307"/>
      <c r="M755" s="307"/>
      <c r="N755" s="307"/>
    </row>
    <row r="756" ht="15" customHeight="1">
      <c r="B756" s="134"/>
      <c r="C756" s="134"/>
      <c r="D756" s="134"/>
      <c r="E756" s="134"/>
      <c r="F756" s="134"/>
      <c r="G756" s="134"/>
      <c r="H756" s="134"/>
      <c r="I756" s="134"/>
      <c r="J756" s="134"/>
      <c r="K756" s="134"/>
      <c r="L756" s="134"/>
      <c r="M756" s="134"/>
      <c r="N756" s="706"/>
    </row>
  </sheetData>
  <mergeCells count="2">
    <mergeCell ref="B739:B743"/>
    <mergeCell ref="B750:B754"/>
  </mergeCells>
  <printOptions headings="0" gridLines="0" horizontalCentered="1"/>
  <pageMargins left="0.11811023622047245" right="0.11811023622047245" top="0.11811023622047245" bottom="0.11811023622047245" header="0.11811023622047245" footer="0.11811023622047245"/>
  <pageSetup paperSize="9" scale="88" fitToWidth="1" fitToHeight="1" pageOrder="downThenOver" orientation="landscape" usePrinterDefaults="1" blackAndWhite="0" draft="0" cellComments="none" useFirstPageNumber="0" errors="displayed" horizontalDpi="600" verticalDpi="600" copies="1"/>
  <headerFooter>
    <oddFooter>&amp;L&amp;"Open Sans,Bold"&amp;10&amp;K002060DCF Valuation Modeling&amp;C&amp;"Open Sans,Bold"&amp;10&amp;K002060Page &amp;P of &amp;N&amp;R&amp;G</oddFooter>
  </headerFooter>
  <drawing r:id="rId1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B694F3BC-E945-4D3D-8C5E-4DA17EE2ACFD}">
            <xm:f>$D$340=1</xm:f>
            <x14:dxf>
              <font>
                <b/>
                <i val="0"/>
                <color theme="0"/>
              </font>
              <fill>
                <patternFill patternType="solid">
                  <fgColor rgb="FF947131"/>
                  <bgColor rgb="FF947131"/>
                </patternFill>
              </fill>
            </x14:dxf>
          </x14:cfRule>
          <xm:sqref>D340</xm:sqref>
        </x14:conditionalFormatting>
        <x14:conditionalFormatting xmlns:xm="http://schemas.microsoft.com/office/excel/2006/main">
          <x14:cfRule type="expression" priority="3" id="{39097210-F88E-4ADC-985C-8864EFF33427}">
            <xm:f>$D$382=1</xm:f>
            <x14:dxf>
              <font>
                <b/>
                <i val="0"/>
                <color theme="0"/>
              </font>
              <fill>
                <patternFill patternType="solid">
                  <fgColor rgb="FF947131"/>
                  <bgColor rgb="FF947131"/>
                </patternFill>
              </fill>
            </x14:dxf>
          </x14:cfRule>
          <xm:sqref>D382</xm:sqref>
        </x14:conditionalFormatting>
        <x14:conditionalFormatting xmlns:xm="http://schemas.microsoft.com/office/excel/2006/main">
          <x14:cfRule type="expression" priority="1" id="{C6675E2D-5AEA-48CB-BE2A-CF38DB16392A}">
            <xm:f>F119&lt;&gt;0</xm:f>
            <x14:dxf>
              <font>
                <b/>
                <i val="0"/>
                <color theme="0"/>
              </font>
              <fill>
                <patternFill patternType="solid">
                  <fgColor rgb="FFFA621C"/>
                  <bgColor rgb="FFFA621C"/>
                </patternFill>
              </fill>
            </x14:dxf>
          </x14:cfRule>
          <xm:sqref>F119:N119</xm:sqref>
        </x14:conditionalFormatting>
        <x14:conditionalFormatting xmlns:xm="http://schemas.microsoft.com/office/excel/2006/main">
          <x14:cfRule type="expression" priority="2" id="{B35B1F33-099D-4ED2-B7BA-D9E4A1D5F614}">
            <xm:f>I447=1</xm:f>
            <x14:dxf>
              <font>
                <b/>
                <i val="0"/>
                <color theme="0"/>
              </font>
              <fill>
                <patternFill patternType="solid">
                  <fgColor rgb="FF947131"/>
                  <bgColor rgb="FF947131"/>
                </patternFill>
              </fill>
            </x14:dxf>
          </x14:cfRule>
          <xm:sqref>I447:N447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0" fitToPage="0"/>
  </sheetPr>
  <sheetViews>
    <sheetView showGridLines="0" zoomScale="73" workbookViewId="0">
      <pane ySplit="1" topLeftCell="A2" activePane="bottomLeft" state="frozen"/>
      <selection activeCell="C23" activeCellId="0" sqref="C23"/>
    </sheetView>
  </sheetViews>
  <sheetFormatPr defaultColWidth="9.140625" defaultRowHeight="16.5" outlineLevelRow="1"/>
  <cols>
    <col min="1" max="1" style="1" width="9.140625"/>
    <col bestFit="1" customWidth="1" min="2" max="2" style="1" width="3.5703125"/>
    <col bestFit="1" customWidth="1" min="3" max="3" style="1" width="9.85546875"/>
    <col customWidth="1" min="4" max="8" style="1" width="11.7109375"/>
    <col customWidth="1" min="9" max="9" style="1" width="6.7109375"/>
    <col customWidth="1" min="10" max="10" style="1" width="2.7109375"/>
    <col customWidth="1" min="11" max="11" style="1" width="8"/>
    <col customWidth="1" min="12" max="16" style="1" width="11.7109375"/>
    <col customWidth="1" min="17" max="17" style="1" width="3.7109375"/>
    <col min="18" max="16384" style="1" width="9.140625"/>
  </cols>
  <sheetData>
    <row r="1" ht="50.100000000000001" customHeight="1">
      <c r="B1" s="2"/>
      <c r="C1" s="2"/>
      <c r="D1" s="2"/>
      <c r="E1" s="2"/>
      <c r="F1" s="2"/>
      <c r="G1" s="2"/>
      <c r="H1" s="2"/>
      <c r="I1" s="2"/>
      <c r="J1" s="3"/>
      <c r="K1" s="2"/>
      <c r="L1" s="2"/>
      <c r="M1" s="2"/>
      <c r="N1" s="2"/>
      <c r="O1" s="2"/>
      <c r="P1" s="2"/>
      <c r="Q1" s="2"/>
      <c r="R1" s="4"/>
    </row>
    <row r="2" ht="15" customHeight="1"/>
    <row r="3" ht="15" customHeight="1">
      <c r="A3" s="172" t="s">
        <v>0</v>
      </c>
      <c r="B3" s="6" t="s">
        <v>1</v>
      </c>
      <c r="C3" s="7"/>
      <c r="D3" s="7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</row>
    <row r="4" ht="15" customHeight="1" outlineLevel="1">
      <c r="A4" s="172"/>
      <c r="B4" s="11"/>
      <c r="C4" s="12"/>
      <c r="D4" s="12"/>
      <c r="E4" s="13"/>
      <c r="F4" s="13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ht="15" customHeight="1" outlineLevel="1">
      <c r="A5" s="172"/>
      <c r="F5" s="14"/>
      <c r="G5" s="15"/>
      <c r="H5" s="14"/>
      <c r="I5" s="14"/>
      <c r="J5" s="16"/>
      <c r="K5" s="16"/>
      <c r="L5" s="17"/>
      <c r="M5" s="17"/>
      <c r="N5" s="17"/>
      <c r="O5" s="17"/>
    </row>
    <row r="6" ht="15" customHeight="1" outlineLevel="1">
      <c r="D6" s="17" t="s">
        <v>2</v>
      </c>
      <c r="F6" s="18">
        <v>2</v>
      </c>
      <c r="L6" s="19" t="s">
        <v>3</v>
      </c>
      <c r="M6" s="20"/>
      <c r="N6" s="20"/>
      <c r="O6" s="20"/>
    </row>
    <row r="7" ht="15" customHeight="1" outlineLevel="1"/>
    <row r="8" ht="15" customHeight="1" outlineLevel="1"/>
    <row r="9" ht="15" customHeight="1" outlineLevel="1">
      <c r="D9" s="21" t="s">
        <v>4</v>
      </c>
      <c r="E9" s="20"/>
      <c r="F9" s="20"/>
      <c r="G9" s="20"/>
      <c r="H9" s="20"/>
      <c r="L9" s="21" t="s">
        <v>5</v>
      </c>
      <c r="M9" s="20"/>
      <c r="N9" s="20"/>
      <c r="O9" s="20"/>
    </row>
    <row r="10" s="4" customFormat="1" ht="15" customHeight="1" outlineLevel="1">
      <c r="D10" s="22"/>
      <c r="E10" s="22"/>
      <c r="F10" s="22"/>
      <c r="G10" s="22"/>
      <c r="H10" s="22"/>
      <c r="I10" s="14"/>
      <c r="J10" s="23"/>
      <c r="K10" s="23"/>
      <c r="L10" s="24"/>
      <c r="M10" s="24"/>
      <c r="N10" s="24"/>
      <c r="O10" s="24"/>
    </row>
    <row r="11" ht="15" customHeight="1" outlineLevel="1">
      <c r="A11" s="23"/>
      <c r="D11" s="28"/>
      <c r="E11" s="4"/>
      <c r="F11" s="29" t="s">
        <v>9</v>
      </c>
      <c r="G11" s="29" t="s">
        <v>10</v>
      </c>
      <c r="H11" s="29" t="s">
        <v>10</v>
      </c>
      <c r="I11" s="30"/>
      <c r="J11" s="30"/>
      <c r="K11" s="30"/>
    </row>
    <row r="12" ht="15" customHeight="1" outlineLevel="1">
      <c r="A12" s="23"/>
      <c r="D12" s="4"/>
      <c r="E12" s="4"/>
      <c r="F12" s="29" t="s">
        <v>11</v>
      </c>
      <c r="G12" s="29" t="s">
        <v>11</v>
      </c>
      <c r="H12" s="29" t="s">
        <v>12</v>
      </c>
      <c r="I12" s="30"/>
      <c r="J12" s="30"/>
      <c r="K12" s="30"/>
      <c r="L12" s="17" t="s">
        <v>13</v>
      </c>
      <c r="M12" s="17"/>
      <c r="N12" s="34"/>
      <c r="O12" s="35">
        <f>Inputs!$F$115</f>
        <v>0.01</v>
      </c>
    </row>
    <row r="13" ht="15" customHeight="1" outlineLevel="1">
      <c r="A13" s="23"/>
      <c r="D13" s="60"/>
      <c r="E13" s="720">
        <f>'Outputs-R'!Y11</f>
        <v>1</v>
      </c>
      <c r="F13" s="721">
        <f>Model!H488</f>
        <v>125713.00817128498</v>
      </c>
      <c r="G13" s="37"/>
      <c r="H13" s="37"/>
      <c r="I13" s="30"/>
      <c r="J13" s="30"/>
      <c r="K13" s="30"/>
      <c r="L13" s="17" t="s">
        <v>14</v>
      </c>
      <c r="N13" s="34"/>
      <c r="O13" s="35">
        <f>Inputs!$L$92</f>
        <v>0.095866057127655321</v>
      </c>
      <c r="P13" s="38"/>
    </row>
    <row r="14" ht="15" customHeight="1" outlineLevel="1">
      <c r="A14" s="23"/>
      <c r="B14" s="11"/>
      <c r="D14" s="42" t="s">
        <v>15</v>
      </c>
      <c r="E14" s="722">
        <v>1</v>
      </c>
      <c r="F14" s="44">
        <v>176515.71457441716</v>
      </c>
      <c r="G14" s="45">
        <f t="shared" ref="G14:G16" si="291">F14-$O$14</f>
        <v>157873.71457441716</v>
      </c>
      <c r="H14" s="46">
        <f t="shared" ref="H14:H16" si="292">G14/$O$15</f>
        <v>4.6161904846320807</v>
      </c>
      <c r="I14" s="47"/>
      <c r="J14" s="48"/>
      <c r="K14" s="48"/>
      <c r="L14" s="17" t="s">
        <v>16</v>
      </c>
      <c r="N14" s="49" t="str">
        <f>CONCATENATE("(End of ",Model!$H$3,")")</f>
        <v xml:space="preserve">(End of 2022)</v>
      </c>
      <c r="O14" s="723">
        <f>Inputs!$L$102</f>
        <v>18642</v>
      </c>
      <c r="P14" s="38"/>
    </row>
    <row r="15" ht="15" customHeight="1" outlineLevel="1">
      <c r="A15" s="23"/>
      <c r="B15" s="11"/>
      <c r="D15" s="42" t="s">
        <v>17</v>
      </c>
      <c r="E15" s="722">
        <v>2</v>
      </c>
      <c r="F15" s="57">
        <v>125713.00817128498</v>
      </c>
      <c r="G15" s="36">
        <f t="shared" si="291"/>
        <v>107071.00817128498</v>
      </c>
      <c r="H15" s="58">
        <f t="shared" si="292"/>
        <v>3.130731233078508</v>
      </c>
      <c r="I15" s="47"/>
      <c r="J15" s="48"/>
      <c r="K15" s="48"/>
      <c r="L15" s="17" t="s">
        <v>18</v>
      </c>
      <c r="M15" s="17"/>
      <c r="N15" s="49" t="s">
        <v>19</v>
      </c>
      <c r="O15" s="723">
        <f>Inputs!$F$113</f>
        <v>34200</v>
      </c>
      <c r="P15" s="38"/>
      <c r="Q15" s="59"/>
    </row>
    <row r="16" s="4" customFormat="1" ht="15" customHeight="1" outlineLevel="1">
      <c r="B16" s="61"/>
      <c r="D16" s="42" t="s">
        <v>20</v>
      </c>
      <c r="E16" s="722">
        <v>3</v>
      </c>
      <c r="F16" s="62">
        <v>86963.940331798192</v>
      </c>
      <c r="G16" s="63">
        <f t="shared" si="291"/>
        <v>68321.940331798192</v>
      </c>
      <c r="H16" s="64">
        <f t="shared" si="292"/>
        <v>1.9977175535613507</v>
      </c>
      <c r="I16" s="65"/>
      <c r="J16" s="65"/>
      <c r="L16" s="66" t="s">
        <v>21</v>
      </c>
      <c r="M16" s="67"/>
      <c r="N16" s="68" t="s">
        <v>22</v>
      </c>
      <c r="O16" s="69">
        <f>Inputs!$F$114</f>
        <v>2.23</v>
      </c>
      <c r="P16" s="38"/>
    </row>
    <row r="17" s="4" customFormat="1" ht="15" customHeight="1" outlineLevel="1">
      <c r="B17" s="73"/>
      <c r="E17" s="265">
        <f>'Outputs-R'!U18</f>
        <v>1</v>
      </c>
      <c r="F17" s="265">
        <f ca="1">'Outputs-R'!Y18</f>
        <v>0</v>
      </c>
      <c r="G17" s="265">
        <f>'Outputs-R'!AC18</f>
        <v>1</v>
      </c>
      <c r="H17" s="265">
        <f>'Outputs-R'!AG18</f>
        <v>1</v>
      </c>
      <c r="I17" s="65"/>
      <c r="J17" s="65"/>
      <c r="L17" s="17"/>
      <c r="M17" s="1"/>
      <c r="N17" s="1"/>
      <c r="O17" s="34"/>
      <c r="P17" s="74"/>
      <c r="Q17" s="59"/>
    </row>
    <row r="18" ht="15" customHeight="1" outlineLevel="1"/>
    <row r="19" ht="15" customHeight="1" outlineLevel="1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ht="15" customHeight="1" outlineLevel="1">
      <c r="D20" s="76" t="s">
        <v>23</v>
      </c>
      <c r="E20" s="20"/>
      <c r="F20" s="20"/>
      <c r="G20" s="20"/>
      <c r="H20" s="20"/>
      <c r="K20" s="4"/>
      <c r="L20" s="77" t="s">
        <v>24</v>
      </c>
      <c r="M20" s="78"/>
      <c r="N20" s="78"/>
      <c r="O20" s="78"/>
      <c r="P20" s="78"/>
    </row>
    <row r="21" ht="15" customHeight="1" outlineLevel="1">
      <c r="D21" s="24"/>
      <c r="E21" s="24"/>
      <c r="F21" s="24"/>
      <c r="G21" s="24"/>
      <c r="H21" s="24"/>
      <c r="K21" s="4"/>
      <c r="L21" s="22"/>
      <c r="M21" s="22"/>
      <c r="N21" s="22"/>
      <c r="O21" s="22"/>
      <c r="P21" s="22"/>
    </row>
    <row r="22" s="79" customFormat="1" ht="15" customHeight="1" outlineLevel="1">
      <c r="C22" s="80"/>
      <c r="D22" s="81" t="s">
        <v>13</v>
      </c>
      <c r="E22" s="20"/>
      <c r="F22" s="20"/>
      <c r="G22" s="20"/>
      <c r="H22" s="20"/>
      <c r="J22" s="1"/>
      <c r="K22" s="82"/>
      <c r="L22" s="83" t="s">
        <v>13</v>
      </c>
      <c r="M22" s="78"/>
      <c r="N22" s="78"/>
      <c r="O22" s="78"/>
      <c r="P22" s="78"/>
      <c r="Q22" s="1"/>
    </row>
    <row r="23" ht="15" customHeight="1" outlineLevel="1">
      <c r="B23" s="265">
        <f>'Outputs-R'!U21</f>
        <v>1</v>
      </c>
      <c r="C23" s="724">
        <f>Model!H488</f>
        <v>125713.00817128498</v>
      </c>
      <c r="D23" s="85">
        <f>E23-0.005</f>
        <v>0</v>
      </c>
      <c r="E23" s="85">
        <f>F23-0.005</f>
        <v>0.0050000000000000001</v>
      </c>
      <c r="F23" s="85">
        <f>Inputs!$F$115</f>
        <v>0.01</v>
      </c>
      <c r="G23" s="85">
        <f>F23+0.005</f>
        <v>0.014999999999999999</v>
      </c>
      <c r="H23" s="85">
        <f>G23+0.005</f>
        <v>0.02</v>
      </c>
      <c r="I23" s="4"/>
      <c r="K23" s="86"/>
      <c r="L23" s="85">
        <f>D23</f>
        <v>0</v>
      </c>
      <c r="M23" s="85">
        <f>E23</f>
        <v>0.0050000000000000001</v>
      </c>
      <c r="N23" s="85">
        <f>F23</f>
        <v>0.01</v>
      </c>
      <c r="O23" s="85">
        <f>G23</f>
        <v>0.014999999999999999</v>
      </c>
      <c r="P23" s="85">
        <f>H23</f>
        <v>0.02</v>
      </c>
    </row>
    <row r="24" ht="15" customHeight="1" outlineLevel="1">
      <c r="B24" s="89" t="s">
        <v>14</v>
      </c>
      <c r="C24" s="85">
        <f t="shared" ref="C24:C25" si="293">C25-0.01</f>
        <v>0.075866057127655331</v>
      </c>
      <c r="D24" s="725">
        <v>125713.00817128498</v>
      </c>
      <c r="E24" s="726">
        <v>125713.00817128498</v>
      </c>
      <c r="F24" s="726">
        <v>125713.00817128498</v>
      </c>
      <c r="G24" s="726">
        <v>125713.00817128498</v>
      </c>
      <c r="H24" s="727">
        <v>125713.00817128498</v>
      </c>
      <c r="I24" s="4"/>
      <c r="J24" s="89" t="s">
        <v>14</v>
      </c>
      <c r="K24" s="85">
        <f t="shared" ref="K24:K85" si="294">C24</f>
        <v>0.075866057127655331</v>
      </c>
      <c r="L24" s="728">
        <f t="shared" ref="L24:P28" si="295">D37/$O$15</f>
        <v>3.130731233078508</v>
      </c>
      <c r="M24" s="729">
        <f t="shared" ref="M24:P24" si="296">E37/$O$15</f>
        <v>3.130731233078508</v>
      </c>
      <c r="N24" s="729">
        <f t="shared" si="296"/>
        <v>3.130731233078508</v>
      </c>
      <c r="O24" s="729">
        <f t="shared" si="296"/>
        <v>3.130731233078508</v>
      </c>
      <c r="P24" s="730">
        <f t="shared" si="296"/>
        <v>3.130731233078508</v>
      </c>
    </row>
    <row r="25" ht="15" customHeight="1" outlineLevel="1">
      <c r="B25" s="89"/>
      <c r="C25" s="85">
        <f t="shared" si="293"/>
        <v>0.085866057127655326</v>
      </c>
      <c r="D25" s="731">
        <v>125713.00817128498</v>
      </c>
      <c r="E25" s="732">
        <v>125713.00817128498</v>
      </c>
      <c r="F25" s="732">
        <v>125713.00817128498</v>
      </c>
      <c r="G25" s="732">
        <v>125713.00817128498</v>
      </c>
      <c r="H25" s="733">
        <v>125713.00817128498</v>
      </c>
      <c r="I25" s="4"/>
      <c r="J25" s="89"/>
      <c r="K25" s="85">
        <f t="shared" si="294"/>
        <v>0.085866057127655326</v>
      </c>
      <c r="L25" s="734">
        <f t="shared" si="295"/>
        <v>3.130731233078508</v>
      </c>
      <c r="M25" s="735">
        <f t="shared" si="295"/>
        <v>3.130731233078508</v>
      </c>
      <c r="N25" s="735">
        <f t="shared" si="295"/>
        <v>3.130731233078508</v>
      </c>
      <c r="O25" s="735">
        <f t="shared" si="295"/>
        <v>3.130731233078508</v>
      </c>
      <c r="P25" s="736">
        <f t="shared" si="295"/>
        <v>3.130731233078508</v>
      </c>
    </row>
    <row r="26" ht="15" customHeight="1" outlineLevel="1">
      <c r="B26" s="89"/>
      <c r="C26" s="85">
        <f>Inputs!$L$92</f>
        <v>0.095866057127655321</v>
      </c>
      <c r="D26" s="731">
        <v>125713.00817128498</v>
      </c>
      <c r="E26" s="732">
        <v>125713.00817128498</v>
      </c>
      <c r="F26" s="737">
        <v>125713.00817128498</v>
      </c>
      <c r="G26" s="732">
        <v>125713.00817128498</v>
      </c>
      <c r="H26" s="733">
        <v>125713.00817128498</v>
      </c>
      <c r="I26" s="4"/>
      <c r="J26" s="89"/>
      <c r="K26" s="85">
        <f t="shared" si="294"/>
        <v>0.095866057127655321</v>
      </c>
      <c r="L26" s="734">
        <f t="shared" si="295"/>
        <v>3.130731233078508</v>
      </c>
      <c r="M26" s="735">
        <f t="shared" si="295"/>
        <v>3.130731233078508</v>
      </c>
      <c r="N26" s="738">
        <f t="shared" si="295"/>
        <v>3.130731233078508</v>
      </c>
      <c r="O26" s="735">
        <f t="shared" si="295"/>
        <v>3.130731233078508</v>
      </c>
      <c r="P26" s="736">
        <f t="shared" si="295"/>
        <v>3.130731233078508</v>
      </c>
    </row>
    <row r="27" ht="15" customHeight="1" outlineLevel="1">
      <c r="B27" s="89"/>
      <c r="C27" s="85">
        <f t="shared" ref="C27:C28" si="297">C26+0.01</f>
        <v>0.10586605712765532</v>
      </c>
      <c r="D27" s="731">
        <v>125713.00817128498</v>
      </c>
      <c r="E27" s="732">
        <v>125713.00817128498</v>
      </c>
      <c r="F27" s="732">
        <v>125713.00817128498</v>
      </c>
      <c r="G27" s="732">
        <v>125713.00817128498</v>
      </c>
      <c r="H27" s="733">
        <v>125713.00817128498</v>
      </c>
      <c r="I27" s="4"/>
      <c r="J27" s="89"/>
      <c r="K27" s="85">
        <f t="shared" si="294"/>
        <v>0.10586605712765532</v>
      </c>
      <c r="L27" s="734">
        <f t="shared" si="295"/>
        <v>3.130731233078508</v>
      </c>
      <c r="M27" s="735">
        <f t="shared" si="295"/>
        <v>3.130731233078508</v>
      </c>
      <c r="N27" s="735">
        <f t="shared" si="295"/>
        <v>3.130731233078508</v>
      </c>
      <c r="O27" s="735">
        <f t="shared" si="295"/>
        <v>3.130731233078508</v>
      </c>
      <c r="P27" s="736">
        <f t="shared" si="295"/>
        <v>3.130731233078508</v>
      </c>
    </row>
    <row r="28" ht="15" customHeight="1" outlineLevel="1">
      <c r="B28" s="89"/>
      <c r="C28" s="85">
        <f t="shared" si="297"/>
        <v>0.11586605712765531</v>
      </c>
      <c r="D28" s="739">
        <v>125713.00817128498</v>
      </c>
      <c r="E28" s="740">
        <v>125713.00817128498</v>
      </c>
      <c r="F28" s="740">
        <v>125713.00817128498</v>
      </c>
      <c r="G28" s="740">
        <v>125713.00817128498</v>
      </c>
      <c r="H28" s="741">
        <v>125713.00817128498</v>
      </c>
      <c r="I28" s="4"/>
      <c r="J28" s="89"/>
      <c r="K28" s="85">
        <f t="shared" si="294"/>
        <v>0.11586605712765531</v>
      </c>
      <c r="L28" s="742">
        <f t="shared" si="295"/>
        <v>3.130731233078508</v>
      </c>
      <c r="M28" s="743">
        <f t="shared" si="295"/>
        <v>3.130731233078508</v>
      </c>
      <c r="N28" s="743">
        <f t="shared" si="295"/>
        <v>3.130731233078508</v>
      </c>
      <c r="O28" s="743">
        <f t="shared" si="295"/>
        <v>3.130731233078508</v>
      </c>
      <c r="P28" s="744">
        <f t="shared" si="295"/>
        <v>3.130731233078508</v>
      </c>
    </row>
    <row r="29" ht="15" customHeight="1" outlineLevel="1">
      <c r="C29" s="4"/>
      <c r="D29" s="4"/>
      <c r="E29" s="4"/>
      <c r="F29" s="4"/>
      <c r="G29" s="4"/>
      <c r="H29" s="745">
        <f ca="1">'Outputs-R'!AE30</f>
        <v>1</v>
      </c>
      <c r="I29" s="4"/>
      <c r="P29" s="745">
        <f>'Outputs-R'!Y37</f>
        <v>1</v>
      </c>
    </row>
    <row r="30" ht="15" customHeight="1" outlineLevel="1">
      <c r="C30" s="4"/>
      <c r="D30" s="4"/>
      <c r="E30" s="4"/>
      <c r="F30" s="4"/>
      <c r="G30" s="4"/>
      <c r="H30" s="4"/>
      <c r="I30" s="4"/>
      <c r="J30" s="4"/>
      <c r="K30" s="4"/>
      <c r="L30" s="77"/>
      <c r="M30" s="78"/>
      <c r="N30" s="78"/>
      <c r="O30" s="78"/>
      <c r="P30" s="78"/>
    </row>
    <row r="31" ht="15" customHeight="1" outlineLevel="1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ht="15" customHeight="1" outlineLevel="1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ht="15" customHeight="1" outlineLevel="1">
      <c r="D33" s="76" t="s">
        <v>25</v>
      </c>
      <c r="E33" s="20"/>
      <c r="F33" s="20"/>
      <c r="G33" s="20"/>
      <c r="H33" s="20"/>
      <c r="I33" s="4"/>
      <c r="J33" s="4"/>
      <c r="K33" s="4"/>
      <c r="L33" s="77" t="s">
        <v>26</v>
      </c>
      <c r="M33" s="78"/>
      <c r="N33" s="78"/>
      <c r="O33" s="78"/>
      <c r="P33" s="78"/>
    </row>
    <row r="34" ht="15" customHeight="1" outlineLevel="1">
      <c r="D34" s="24"/>
      <c r="E34" s="24"/>
      <c r="F34" s="24"/>
      <c r="G34" s="24"/>
      <c r="H34" s="24"/>
      <c r="I34" s="4"/>
      <c r="J34" s="4"/>
      <c r="K34" s="4"/>
      <c r="L34" s="22"/>
      <c r="M34" s="22"/>
      <c r="N34" s="22"/>
      <c r="O34" s="22"/>
      <c r="P34" s="22"/>
    </row>
    <row r="35" ht="15" customHeight="1" outlineLevel="1">
      <c r="B35" s="79"/>
      <c r="C35" s="79"/>
      <c r="D35" s="81" t="s">
        <v>13</v>
      </c>
      <c r="E35" s="20"/>
      <c r="F35" s="20"/>
      <c r="G35" s="20"/>
      <c r="H35" s="20"/>
      <c r="I35" s="82"/>
      <c r="J35" s="82"/>
      <c r="K35" s="82"/>
      <c r="L35" s="83" t="s">
        <v>13</v>
      </c>
      <c r="M35" s="78"/>
      <c r="N35" s="78"/>
      <c r="O35" s="78"/>
      <c r="P35" s="78"/>
    </row>
    <row r="36" ht="15" customHeight="1" outlineLevel="1">
      <c r="B36" s="4"/>
      <c r="C36" s="116"/>
      <c r="D36" s="117">
        <f>D23</f>
        <v>0</v>
      </c>
      <c r="E36" s="117">
        <f>E23</f>
        <v>0.0050000000000000001</v>
      </c>
      <c r="F36" s="117">
        <f>F23</f>
        <v>0.01</v>
      </c>
      <c r="G36" s="117">
        <f>G23</f>
        <v>0.014999999999999999</v>
      </c>
      <c r="H36" s="117">
        <f>H23</f>
        <v>0.02</v>
      </c>
      <c r="I36" s="4"/>
      <c r="J36" s="4"/>
      <c r="K36" s="116"/>
      <c r="L36" s="85">
        <f>D36</f>
        <v>0</v>
      </c>
      <c r="M36" s="85">
        <f>E36</f>
        <v>0.0050000000000000001</v>
      </c>
      <c r="N36" s="85">
        <f>F36</f>
        <v>0.01</v>
      </c>
      <c r="O36" s="85">
        <f>G36</f>
        <v>0.014999999999999999</v>
      </c>
      <c r="P36" s="85">
        <f>H36</f>
        <v>0.02</v>
      </c>
    </row>
    <row r="37" ht="15" customHeight="1" outlineLevel="1">
      <c r="B37" s="118" t="s">
        <v>14</v>
      </c>
      <c r="C37" s="85">
        <f t="shared" ref="C37:C41" si="298">C24</f>
        <v>0.075866057127655331</v>
      </c>
      <c r="D37" s="731">
        <f t="shared" ref="D37:H41" si="299">D24-$O$14</f>
        <v>107071.00817128498</v>
      </c>
      <c r="E37" s="732">
        <f t="shared" ref="E37:H37" si="300">E24-$O$14</f>
        <v>107071.00817128498</v>
      </c>
      <c r="F37" s="732">
        <f t="shared" si="300"/>
        <v>107071.00817128498</v>
      </c>
      <c r="G37" s="726">
        <f t="shared" si="300"/>
        <v>107071.00817128498</v>
      </c>
      <c r="H37" s="727">
        <f t="shared" si="300"/>
        <v>107071.00817128498</v>
      </c>
      <c r="I37" s="4"/>
      <c r="J37" s="118" t="s">
        <v>14</v>
      </c>
      <c r="K37" s="85">
        <f t="shared" si="294"/>
        <v>0.075866057127655331</v>
      </c>
      <c r="L37" s="746">
        <f t="shared" ref="L37:P41" si="301">L24/$O$16-1</f>
        <v>0.40391535115628163</v>
      </c>
      <c r="M37" s="747">
        <f t="shared" ref="M37:P37" si="302">M24/$O$16-1</f>
        <v>0.40391535115628163</v>
      </c>
      <c r="N37" s="747">
        <f t="shared" si="302"/>
        <v>0.40391535115628163</v>
      </c>
      <c r="O37" s="747">
        <f t="shared" si="302"/>
        <v>0.40391535115628163</v>
      </c>
      <c r="P37" s="748">
        <f t="shared" si="302"/>
        <v>0.40391535115628163</v>
      </c>
    </row>
    <row r="38" ht="15" customHeight="1" outlineLevel="1">
      <c r="B38" s="118"/>
      <c r="C38" s="85">
        <f t="shared" si="298"/>
        <v>0.085866057127655326</v>
      </c>
      <c r="D38" s="731">
        <f t="shared" si="299"/>
        <v>107071.00817128498</v>
      </c>
      <c r="E38" s="732">
        <f t="shared" si="299"/>
        <v>107071.00817128498</v>
      </c>
      <c r="F38" s="732">
        <f t="shared" si="299"/>
        <v>107071.00817128498</v>
      </c>
      <c r="G38" s="732">
        <f>G25-$O$14</f>
        <v>107071.00817128498</v>
      </c>
      <c r="H38" s="733">
        <f t="shared" si="299"/>
        <v>107071.00817128498</v>
      </c>
      <c r="I38" s="4"/>
      <c r="J38" s="118"/>
      <c r="K38" s="85">
        <f t="shared" si="294"/>
        <v>0.085866057127655326</v>
      </c>
      <c r="L38" s="749">
        <f t="shared" si="301"/>
        <v>0.40391535115628163</v>
      </c>
      <c r="M38" s="750">
        <f t="shared" si="301"/>
        <v>0.40391535115628163</v>
      </c>
      <c r="N38" s="750">
        <f t="shared" si="301"/>
        <v>0.40391535115628163</v>
      </c>
      <c r="O38" s="750">
        <f t="shared" si="301"/>
        <v>0.40391535115628163</v>
      </c>
      <c r="P38" s="751">
        <f t="shared" si="301"/>
        <v>0.40391535115628163</v>
      </c>
    </row>
    <row r="39" ht="15" customHeight="1" outlineLevel="1">
      <c r="B39" s="118"/>
      <c r="C39" s="85">
        <f t="shared" si="298"/>
        <v>0.095866057127655321</v>
      </c>
      <c r="D39" s="731">
        <f t="shared" si="299"/>
        <v>107071.00817128498</v>
      </c>
      <c r="E39" s="732">
        <f t="shared" si="299"/>
        <v>107071.00817128498</v>
      </c>
      <c r="F39" s="737">
        <f t="shared" si="299"/>
        <v>107071.00817128498</v>
      </c>
      <c r="G39" s="732">
        <f t="shared" si="299"/>
        <v>107071.00817128498</v>
      </c>
      <c r="H39" s="733">
        <f t="shared" si="299"/>
        <v>107071.00817128498</v>
      </c>
      <c r="I39" s="4"/>
      <c r="J39" s="118"/>
      <c r="K39" s="85">
        <f t="shared" si="294"/>
        <v>0.095866057127655321</v>
      </c>
      <c r="L39" s="749">
        <f t="shared" si="301"/>
        <v>0.40391535115628163</v>
      </c>
      <c r="M39" s="750">
        <f t="shared" si="301"/>
        <v>0.40391535115628163</v>
      </c>
      <c r="N39" s="752">
        <f t="shared" si="301"/>
        <v>0.40391535115628163</v>
      </c>
      <c r="O39" s="750">
        <f t="shared" si="301"/>
        <v>0.40391535115628163</v>
      </c>
      <c r="P39" s="751">
        <f t="shared" si="301"/>
        <v>0.40391535115628163</v>
      </c>
    </row>
    <row r="40" ht="15" customHeight="1" outlineLevel="1">
      <c r="B40" s="118"/>
      <c r="C40" s="85">
        <f t="shared" si="298"/>
        <v>0.10586605712765532</v>
      </c>
      <c r="D40" s="731">
        <f t="shared" si="299"/>
        <v>107071.00817128498</v>
      </c>
      <c r="E40" s="732">
        <f t="shared" si="299"/>
        <v>107071.00817128498</v>
      </c>
      <c r="F40" s="732">
        <f t="shared" si="299"/>
        <v>107071.00817128498</v>
      </c>
      <c r="G40" s="732">
        <f t="shared" si="299"/>
        <v>107071.00817128498</v>
      </c>
      <c r="H40" s="733">
        <f t="shared" si="299"/>
        <v>107071.00817128498</v>
      </c>
      <c r="I40" s="4"/>
      <c r="J40" s="118"/>
      <c r="K40" s="85">
        <f t="shared" si="294"/>
        <v>0.10586605712765532</v>
      </c>
      <c r="L40" s="749">
        <f t="shared" si="301"/>
        <v>0.40391535115628163</v>
      </c>
      <c r="M40" s="750">
        <f t="shared" si="301"/>
        <v>0.40391535115628163</v>
      </c>
      <c r="N40" s="750">
        <f t="shared" si="301"/>
        <v>0.40391535115628163</v>
      </c>
      <c r="O40" s="750">
        <f t="shared" si="301"/>
        <v>0.40391535115628163</v>
      </c>
      <c r="P40" s="751">
        <f t="shared" si="301"/>
        <v>0.40391535115628163</v>
      </c>
    </row>
    <row r="41" ht="15" customHeight="1" outlineLevel="1">
      <c r="B41" s="118"/>
      <c r="C41" s="85">
        <f t="shared" si="298"/>
        <v>0.11586605712765531</v>
      </c>
      <c r="D41" s="739">
        <f t="shared" si="299"/>
        <v>107071.00817128498</v>
      </c>
      <c r="E41" s="740">
        <f t="shared" si="299"/>
        <v>107071.00817128498</v>
      </c>
      <c r="F41" s="740">
        <f t="shared" si="299"/>
        <v>107071.00817128498</v>
      </c>
      <c r="G41" s="740">
        <f t="shared" si="299"/>
        <v>107071.00817128498</v>
      </c>
      <c r="H41" s="741">
        <f t="shared" si="299"/>
        <v>107071.00817128498</v>
      </c>
      <c r="I41" s="4"/>
      <c r="J41" s="118"/>
      <c r="K41" s="85">
        <f t="shared" si="294"/>
        <v>0.11586605712765531</v>
      </c>
      <c r="L41" s="753">
        <f t="shared" si="301"/>
        <v>0.40391535115628163</v>
      </c>
      <c r="M41" s="754">
        <f t="shared" si="301"/>
        <v>0.40391535115628163</v>
      </c>
      <c r="N41" s="754">
        <f t="shared" si="301"/>
        <v>0.40391535115628163</v>
      </c>
      <c r="O41" s="754">
        <f t="shared" si="301"/>
        <v>0.40391535115628163</v>
      </c>
      <c r="P41" s="755">
        <f t="shared" si="301"/>
        <v>0.40391535115628163</v>
      </c>
    </row>
    <row r="42" ht="15" customHeight="1" outlineLevel="1">
      <c r="B42" s="118"/>
      <c r="C42" s="85"/>
      <c r="D42" s="756"/>
      <c r="E42" s="756"/>
      <c r="F42" s="756"/>
      <c r="G42" s="756"/>
      <c r="H42" s="745">
        <f>'Outputs-R'!U40</f>
        <v>1</v>
      </c>
      <c r="I42" s="60"/>
      <c r="J42" s="757"/>
      <c r="K42" s="758"/>
      <c r="L42" s="759"/>
      <c r="M42" s="759"/>
      <c r="N42" s="759"/>
      <c r="O42" s="759"/>
      <c r="P42" s="745">
        <f>'Outputs-R'!Y40</f>
        <v>1</v>
      </c>
    </row>
    <row r="43" ht="15" customHeight="1" outlineLevel="1">
      <c r="B43" s="118"/>
      <c r="C43" s="85"/>
      <c r="D43" s="133" t="str">
        <f ca="1">'Outputs-R'!S43</f>
        <v/>
      </c>
      <c r="E43" s="760"/>
      <c r="F43" s="760"/>
      <c r="G43" s="760"/>
      <c r="H43" s="760"/>
      <c r="I43" s="4"/>
      <c r="J43" s="118"/>
      <c r="K43" s="85"/>
      <c r="L43" s="761"/>
      <c r="M43" s="761"/>
      <c r="N43" s="761"/>
      <c r="O43" s="761"/>
      <c r="P43" s="132" t="s">
        <v>27</v>
      </c>
    </row>
    <row r="44" ht="15" customHeight="1" outlineLevel="1"/>
    <row r="45" ht="15" customHeight="1" outlineLevel="1"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</row>
    <row r="46" ht="15" customHeight="1"/>
    <row r="47" ht="15" customHeight="1">
      <c r="A47" s="1" t="s">
        <v>0</v>
      </c>
      <c r="B47" s="6" t="s">
        <v>28</v>
      </c>
      <c r="C47" s="7"/>
      <c r="D47" s="7"/>
      <c r="E47" s="8"/>
      <c r="F47" s="8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ht="15" customHeight="1" outlineLevel="1">
      <c r="B48" s="11"/>
      <c r="C48" s="12"/>
      <c r="D48" s="12"/>
      <c r="E48" s="13"/>
      <c r="F48" s="13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ht="15" customHeight="1" outlineLevel="1">
      <c r="F49" s="14"/>
      <c r="G49" s="15"/>
      <c r="H49" s="14"/>
      <c r="I49" s="14"/>
      <c r="J49" s="16"/>
      <c r="K49" s="16"/>
      <c r="L49" s="17"/>
      <c r="M49" s="17"/>
      <c r="N49" s="17"/>
      <c r="O49" s="17"/>
    </row>
    <row r="50" ht="15" customHeight="1" outlineLevel="1">
      <c r="D50" s="17" t="s">
        <v>2</v>
      </c>
      <c r="F50" s="36">
        <f>F6</f>
        <v>2</v>
      </c>
      <c r="L50" s="19" t="s">
        <v>3</v>
      </c>
      <c r="M50" s="20"/>
      <c r="N50" s="20"/>
      <c r="O50" s="20"/>
    </row>
    <row r="51" ht="15" customHeight="1" outlineLevel="1"/>
    <row r="52" ht="15" customHeight="1" outlineLevel="1"/>
    <row r="53" ht="15" customHeight="1" outlineLevel="1">
      <c r="D53" s="21" t="s">
        <v>4</v>
      </c>
      <c r="E53" s="20"/>
      <c r="F53" s="20"/>
      <c r="G53" s="20"/>
      <c r="H53" s="20"/>
      <c r="L53" s="21" t="s">
        <v>5</v>
      </c>
      <c r="M53" s="20"/>
      <c r="N53" s="20"/>
      <c r="O53" s="20"/>
    </row>
    <row r="54" ht="15" customHeight="1" outlineLevel="1">
      <c r="B54" s="4"/>
      <c r="C54" s="4"/>
      <c r="D54" s="22"/>
      <c r="E54" s="22"/>
      <c r="F54" s="22"/>
      <c r="G54" s="22"/>
      <c r="H54" s="22"/>
      <c r="I54" s="14"/>
      <c r="J54" s="23"/>
      <c r="K54" s="23"/>
      <c r="L54" s="24"/>
      <c r="M54" s="24"/>
      <c r="N54" s="24"/>
      <c r="O54" s="24"/>
      <c r="P54" s="4"/>
      <c r="Q54" s="4"/>
    </row>
    <row r="55" ht="15" customHeight="1" outlineLevel="1">
      <c r="D55" s="4"/>
      <c r="E55" s="4"/>
      <c r="F55" s="29" t="s">
        <v>9</v>
      </c>
      <c r="G55" s="29" t="s">
        <v>10</v>
      </c>
      <c r="H55" s="29" t="s">
        <v>10</v>
      </c>
      <c r="I55" s="30"/>
      <c r="J55" s="30"/>
      <c r="K55" s="30"/>
    </row>
    <row r="56" ht="15" customHeight="1" outlineLevel="1">
      <c r="D56" s="4"/>
      <c r="E56" s="4"/>
      <c r="F56" s="29" t="s">
        <v>11</v>
      </c>
      <c r="G56" s="29" t="s">
        <v>11</v>
      </c>
      <c r="H56" s="29" t="s">
        <v>12</v>
      </c>
      <c r="I56" s="30"/>
      <c r="J56" s="30"/>
      <c r="K56" s="30"/>
      <c r="L56" s="17" t="s">
        <v>29</v>
      </c>
      <c r="M56" s="17"/>
      <c r="N56" s="34"/>
      <c r="O56" s="136">
        <f>+Inputs!$F$116</f>
        <v>7</v>
      </c>
    </row>
    <row r="57" ht="15" customHeight="1" outlineLevel="1">
      <c r="E57" s="762">
        <f>'Outputs-R'!Y55</f>
        <v>1</v>
      </c>
      <c r="F57" s="721">
        <f>Model!H535</f>
        <v>130862.76413287796</v>
      </c>
      <c r="G57" s="37"/>
      <c r="H57" s="37"/>
      <c r="I57" s="30"/>
      <c r="J57" s="30"/>
      <c r="K57" s="30"/>
      <c r="L57" s="17" t="s">
        <v>14</v>
      </c>
      <c r="N57" s="34"/>
      <c r="O57" s="35">
        <f>Inputs!$L$92</f>
        <v>0.095866057127655321</v>
      </c>
      <c r="P57" s="38"/>
    </row>
    <row r="58" ht="15" customHeight="1" outlineLevel="1">
      <c r="B58" s="11"/>
      <c r="D58" s="66" t="str">
        <f t="shared" ref="D58:D60" si="303">D14</f>
        <v xml:space="preserve">Best Case</v>
      </c>
      <c r="E58" s="763">
        <v>1</v>
      </c>
      <c r="F58" s="44">
        <v>163673.86420424422</v>
      </c>
      <c r="G58" s="137">
        <f t="shared" ref="G58:G60" si="304">F58-$O$58</f>
        <v>145031.86420424422</v>
      </c>
      <c r="H58" s="138">
        <f t="shared" ref="H58:H60" si="305">+G58/$O$59</f>
        <v>4.2406977837498312</v>
      </c>
      <c r="I58" s="47"/>
      <c r="J58" s="48"/>
      <c r="K58" s="48"/>
      <c r="L58" s="17" t="s">
        <v>16</v>
      </c>
      <c r="N58" s="49" t="str">
        <f>N14</f>
        <v xml:space="preserve">(End of 2022)</v>
      </c>
      <c r="O58" s="723">
        <f>Inputs!$L$102</f>
        <v>18642</v>
      </c>
      <c r="P58" s="38"/>
    </row>
    <row r="59" ht="15" customHeight="1" outlineLevel="1">
      <c r="B59" s="11"/>
      <c r="D59" s="66" t="str">
        <f t="shared" si="303"/>
        <v xml:space="preserve">Base Case</v>
      </c>
      <c r="E59" s="763">
        <v>2</v>
      </c>
      <c r="F59" s="57">
        <v>130862.76413287796</v>
      </c>
      <c r="G59" s="139">
        <f t="shared" si="304"/>
        <v>112220.76413287796</v>
      </c>
      <c r="H59" s="140">
        <f t="shared" si="305"/>
        <v>3.2813088927742093</v>
      </c>
      <c r="I59" s="47"/>
      <c r="J59" s="48"/>
      <c r="K59" s="48"/>
      <c r="L59" s="17" t="s">
        <v>18</v>
      </c>
      <c r="M59" s="17"/>
      <c r="N59" s="49" t="s">
        <v>19</v>
      </c>
      <c r="O59" s="723">
        <f>Inputs!$F$113</f>
        <v>34200</v>
      </c>
      <c r="P59" s="38"/>
      <c r="Q59" s="59"/>
    </row>
    <row r="60" ht="15" customHeight="1" outlineLevel="1">
      <c r="B60" s="61"/>
      <c r="C60" s="4"/>
      <c r="D60" s="66" t="str">
        <f t="shared" si="303"/>
        <v xml:space="preserve">Worst Case</v>
      </c>
      <c r="E60" s="763">
        <v>3</v>
      </c>
      <c r="F60" s="62">
        <v>101841.48333806064</v>
      </c>
      <c r="G60" s="141">
        <f t="shared" si="304"/>
        <v>83199.483338060643</v>
      </c>
      <c r="H60" s="142">
        <f t="shared" si="305"/>
        <v>2.4327334309374455</v>
      </c>
      <c r="I60" s="65"/>
      <c r="J60" s="65"/>
      <c r="K60" s="4"/>
      <c r="L60" s="66" t="s">
        <v>21</v>
      </c>
      <c r="M60" s="67"/>
      <c r="N60" s="68" t="s">
        <v>22</v>
      </c>
      <c r="O60" s="69">
        <f>Inputs!$F$114</f>
        <v>2.23</v>
      </c>
      <c r="P60" s="38"/>
      <c r="Q60" s="4"/>
    </row>
    <row r="61" ht="15" customHeight="1" outlineLevel="1">
      <c r="B61" s="73"/>
      <c r="C61" s="4"/>
      <c r="D61" s="4"/>
      <c r="E61" s="265">
        <f>'Outputs-R'!U58</f>
        <v>1</v>
      </c>
      <c r="F61" s="265">
        <f ca="1">'Outputs-R'!Y62</f>
        <v>0</v>
      </c>
      <c r="I61" s="65"/>
      <c r="J61" s="65"/>
      <c r="K61" s="4"/>
      <c r="L61" s="17"/>
      <c r="O61" s="34"/>
      <c r="P61" s="74"/>
      <c r="Q61" s="59"/>
    </row>
    <row r="62" ht="15" customHeight="1" outlineLevel="1"/>
    <row r="63" ht="15" customHeight="1" outlineLevel="1"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ht="15" customHeight="1" outlineLevel="1">
      <c r="D64" s="76" t="s">
        <v>23</v>
      </c>
      <c r="E64" s="20"/>
      <c r="F64" s="20"/>
      <c r="G64" s="20"/>
      <c r="H64" s="20"/>
      <c r="K64" s="4"/>
      <c r="L64" s="77" t="s">
        <v>24</v>
      </c>
      <c r="M64" s="78"/>
      <c r="N64" s="78"/>
      <c r="O64" s="78"/>
      <c r="P64" s="78"/>
      <c r="Q64" s="4"/>
    </row>
    <row r="65" ht="15" customHeight="1" outlineLevel="1">
      <c r="D65" s="24"/>
      <c r="E65" s="24"/>
      <c r="F65" s="24"/>
      <c r="G65" s="24"/>
      <c r="H65" s="24"/>
      <c r="K65" s="4"/>
      <c r="L65" s="22"/>
      <c r="M65" s="22"/>
      <c r="N65" s="22"/>
      <c r="O65" s="22"/>
      <c r="P65" s="22"/>
      <c r="Q65" s="4"/>
    </row>
    <row r="66" ht="15" customHeight="1" outlineLevel="1">
      <c r="B66" s="79"/>
      <c r="C66" s="80"/>
      <c r="D66" s="81" t="s">
        <v>29</v>
      </c>
      <c r="E66" s="20"/>
      <c r="F66" s="20"/>
      <c r="G66" s="20"/>
      <c r="H66" s="20"/>
      <c r="I66" s="79"/>
      <c r="K66" s="82"/>
      <c r="L66" s="83" t="s">
        <v>29</v>
      </c>
      <c r="M66" s="78"/>
      <c r="N66" s="78"/>
      <c r="O66" s="78"/>
      <c r="P66" s="78"/>
      <c r="Q66" s="82"/>
    </row>
    <row r="67" ht="15" customHeight="1" outlineLevel="1">
      <c r="B67" s="265">
        <f>'Outputs-R'!U65</f>
        <v>1</v>
      </c>
      <c r="C67" s="724">
        <f>Model!H535</f>
        <v>130862.76413287796</v>
      </c>
      <c r="D67" s="143">
        <f>E67-0.5</f>
        <v>6</v>
      </c>
      <c r="E67" s="143">
        <f>F67-0.5</f>
        <v>6.5</v>
      </c>
      <c r="F67" s="143">
        <f>+Inputs!$F$116</f>
        <v>7</v>
      </c>
      <c r="G67" s="143">
        <f>+F67+0.5</f>
        <v>7.5</v>
      </c>
      <c r="H67" s="143">
        <f>+G67+0.5</f>
        <v>8</v>
      </c>
      <c r="I67" s="4"/>
      <c r="K67" s="86"/>
      <c r="L67" s="143">
        <f>D67</f>
        <v>6</v>
      </c>
      <c r="M67" s="143">
        <f>E67</f>
        <v>6.5</v>
      </c>
      <c r="N67" s="143">
        <f>F67</f>
        <v>7</v>
      </c>
      <c r="O67" s="143">
        <f>G67</f>
        <v>7.5</v>
      </c>
      <c r="P67" s="143">
        <f>H67</f>
        <v>8</v>
      </c>
      <c r="Q67" s="4"/>
    </row>
    <row r="68" ht="15" customHeight="1" outlineLevel="1">
      <c r="B68" s="89" t="s">
        <v>14</v>
      </c>
      <c r="C68" s="85">
        <f t="shared" ref="C68:C69" si="306">C69-0.01</f>
        <v>0.075866057127655331</v>
      </c>
      <c r="D68" s="725">
        <v>130862.76413287796</v>
      </c>
      <c r="E68" s="726">
        <v>130862.76413287796</v>
      </c>
      <c r="F68" s="726">
        <v>130862.76413287796</v>
      </c>
      <c r="G68" s="726">
        <v>130862.76413287796</v>
      </c>
      <c r="H68" s="727">
        <v>130862.76413287796</v>
      </c>
      <c r="I68" s="4"/>
      <c r="J68" s="89" t="s">
        <v>14</v>
      </c>
      <c r="K68" s="85">
        <f t="shared" si="294"/>
        <v>0.075866057127655331</v>
      </c>
      <c r="L68" s="764">
        <f t="shared" ref="L68:P72" si="307">D81/$O$59</f>
        <v>3.2813088927742093</v>
      </c>
      <c r="M68" s="765">
        <f t="shared" si="307"/>
        <v>3.2813088927742093</v>
      </c>
      <c r="N68" s="765">
        <f t="shared" si="307"/>
        <v>3.2813088927742093</v>
      </c>
      <c r="O68" s="765">
        <f t="shared" si="307"/>
        <v>3.2813088927742093</v>
      </c>
      <c r="P68" s="766">
        <f t="shared" si="307"/>
        <v>3.2813088927742093</v>
      </c>
      <c r="Q68" s="4"/>
    </row>
    <row r="69" ht="15" customHeight="1" outlineLevel="1">
      <c r="B69" s="89"/>
      <c r="C69" s="85">
        <f t="shared" si="306"/>
        <v>0.085866057127655326</v>
      </c>
      <c r="D69" s="731">
        <v>130862.76413287796</v>
      </c>
      <c r="E69" s="732">
        <v>130862.76413287796</v>
      </c>
      <c r="F69" s="732">
        <v>130862.76413287796</v>
      </c>
      <c r="G69" s="732">
        <v>130862.76413287796</v>
      </c>
      <c r="H69" s="733">
        <v>130862.76413287796</v>
      </c>
      <c r="I69" s="4"/>
      <c r="J69" s="89"/>
      <c r="K69" s="85">
        <f t="shared" si="294"/>
        <v>0.085866057127655326</v>
      </c>
      <c r="L69" s="767">
        <f t="shared" si="307"/>
        <v>3.2813088927742093</v>
      </c>
      <c r="M69" s="768">
        <f t="shared" si="307"/>
        <v>3.2813088927742093</v>
      </c>
      <c r="N69" s="768">
        <f t="shared" si="307"/>
        <v>3.2813088927742093</v>
      </c>
      <c r="O69" s="768">
        <f t="shared" si="307"/>
        <v>3.2813088927742093</v>
      </c>
      <c r="P69" s="769">
        <f t="shared" si="307"/>
        <v>3.2813088927742093</v>
      </c>
      <c r="Q69" s="4"/>
    </row>
    <row r="70" ht="15" customHeight="1" outlineLevel="1">
      <c r="B70" s="89"/>
      <c r="C70" s="85">
        <f>Inputs!$L$92</f>
        <v>0.095866057127655321</v>
      </c>
      <c r="D70" s="731">
        <v>130862.76413287796</v>
      </c>
      <c r="E70" s="732">
        <v>130862.76413287796</v>
      </c>
      <c r="F70" s="737">
        <v>130862.76413287796</v>
      </c>
      <c r="G70" s="732">
        <v>130862.76413287796</v>
      </c>
      <c r="H70" s="733">
        <v>130862.76413287796</v>
      </c>
      <c r="I70" s="4"/>
      <c r="J70" s="89"/>
      <c r="K70" s="85">
        <f t="shared" si="294"/>
        <v>0.095866057127655321</v>
      </c>
      <c r="L70" s="767">
        <f t="shared" si="307"/>
        <v>3.2813088927742093</v>
      </c>
      <c r="M70" s="768">
        <f t="shared" si="307"/>
        <v>3.2813088927742093</v>
      </c>
      <c r="N70" s="770">
        <f t="shared" si="307"/>
        <v>3.2813088927742093</v>
      </c>
      <c r="O70" s="768">
        <f t="shared" si="307"/>
        <v>3.2813088927742093</v>
      </c>
      <c r="P70" s="769">
        <f t="shared" si="307"/>
        <v>3.2813088927742093</v>
      </c>
      <c r="Q70" s="4"/>
    </row>
    <row r="71" ht="15" customHeight="1" outlineLevel="1">
      <c r="B71" s="89"/>
      <c r="C71" s="85">
        <f t="shared" ref="C71:C72" si="308">C70+0.01</f>
        <v>0.10586605712765532</v>
      </c>
      <c r="D71" s="731">
        <v>130862.76413287796</v>
      </c>
      <c r="E71" s="732">
        <v>130862.76413287796</v>
      </c>
      <c r="F71" s="732">
        <v>130862.76413287796</v>
      </c>
      <c r="G71" s="732">
        <v>130862.76413287796</v>
      </c>
      <c r="H71" s="733">
        <v>130862.76413287796</v>
      </c>
      <c r="I71" s="4"/>
      <c r="J71" s="89"/>
      <c r="K71" s="85">
        <f t="shared" si="294"/>
        <v>0.10586605712765532</v>
      </c>
      <c r="L71" s="767">
        <f t="shared" si="307"/>
        <v>3.2813088927742093</v>
      </c>
      <c r="M71" s="768">
        <f t="shared" si="307"/>
        <v>3.2813088927742093</v>
      </c>
      <c r="N71" s="768">
        <f t="shared" si="307"/>
        <v>3.2813088927742093</v>
      </c>
      <c r="O71" s="768">
        <f t="shared" si="307"/>
        <v>3.2813088927742093</v>
      </c>
      <c r="P71" s="769">
        <f t="shared" si="307"/>
        <v>3.2813088927742093</v>
      </c>
      <c r="Q71" s="4"/>
    </row>
    <row r="72" ht="15" customHeight="1" outlineLevel="1">
      <c r="B72" s="89"/>
      <c r="C72" s="85">
        <f t="shared" si="308"/>
        <v>0.11586605712765531</v>
      </c>
      <c r="D72" s="739">
        <v>130862.76413287796</v>
      </c>
      <c r="E72" s="740">
        <v>130862.76413287796</v>
      </c>
      <c r="F72" s="740">
        <v>130862.76413287796</v>
      </c>
      <c r="G72" s="740">
        <v>130862.76413287796</v>
      </c>
      <c r="H72" s="741">
        <v>130862.76413287796</v>
      </c>
      <c r="I72" s="4"/>
      <c r="J72" s="89"/>
      <c r="K72" s="85">
        <f t="shared" si="294"/>
        <v>0.11586605712765531</v>
      </c>
      <c r="L72" s="771">
        <f t="shared" si="307"/>
        <v>3.2813088927742093</v>
      </c>
      <c r="M72" s="772">
        <f t="shared" si="307"/>
        <v>3.2813088927742093</v>
      </c>
      <c r="N72" s="772">
        <f t="shared" si="307"/>
        <v>3.2813088927742093</v>
      </c>
      <c r="O72" s="772">
        <f t="shared" si="307"/>
        <v>3.2813088927742093</v>
      </c>
      <c r="P72" s="773">
        <f t="shared" si="307"/>
        <v>3.2813088927742093</v>
      </c>
      <c r="Q72" s="4"/>
    </row>
    <row r="73" ht="15" customHeight="1" outlineLevel="1">
      <c r="C73" s="4"/>
      <c r="D73" s="4"/>
      <c r="E73" s="4"/>
      <c r="F73" s="4"/>
      <c r="G73" s="4"/>
      <c r="H73" s="745">
        <f ca="1">'Outputs-R'!AE74</f>
        <v>1</v>
      </c>
      <c r="I73" s="4"/>
    </row>
    <row r="74" ht="15" customHeight="1" outlineLevel="1">
      <c r="C74" s="4"/>
      <c r="D74" s="4"/>
      <c r="E74" s="4"/>
      <c r="F74" s="4"/>
      <c r="G74" s="4"/>
      <c r="H74" s="4"/>
      <c r="I74" s="4"/>
      <c r="J74" s="4"/>
      <c r="K74" s="4"/>
      <c r="L74" s="77"/>
      <c r="M74" s="78"/>
      <c r="N74" s="78"/>
      <c r="O74" s="78"/>
      <c r="P74" s="78"/>
    </row>
    <row r="75" ht="15" customHeight="1" outlineLevel="1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ht="15" customHeight="1" outlineLevel="1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ht="15" customHeight="1" outlineLevel="1">
      <c r="D77" s="76" t="s">
        <v>25</v>
      </c>
      <c r="E77" s="20"/>
      <c r="F77" s="20"/>
      <c r="G77" s="20"/>
      <c r="H77" s="20"/>
      <c r="J77" s="4"/>
      <c r="K77" s="4"/>
      <c r="L77" s="77" t="s">
        <v>26</v>
      </c>
      <c r="M77" s="78"/>
      <c r="N77" s="78"/>
      <c r="O77" s="78"/>
      <c r="P77" s="78"/>
    </row>
    <row r="78" ht="15" customHeight="1" outlineLevel="1">
      <c r="D78" s="24"/>
      <c r="E78" s="24"/>
      <c r="F78" s="24"/>
      <c r="G78" s="24"/>
      <c r="H78" s="24"/>
      <c r="J78" s="4"/>
      <c r="K78" s="4"/>
      <c r="L78" s="22"/>
      <c r="M78" s="22"/>
      <c r="N78" s="22"/>
      <c r="O78" s="22"/>
      <c r="P78" s="22"/>
    </row>
    <row r="79" ht="15" customHeight="1" outlineLevel="1">
      <c r="B79" s="79"/>
      <c r="C79" s="79"/>
      <c r="D79" s="81" t="s">
        <v>29</v>
      </c>
      <c r="E79" s="20"/>
      <c r="F79" s="20"/>
      <c r="G79" s="20"/>
      <c r="H79" s="20"/>
      <c r="I79" s="79"/>
      <c r="J79" s="82"/>
      <c r="K79" s="82"/>
      <c r="L79" s="83" t="s">
        <v>29</v>
      </c>
      <c r="M79" s="78"/>
      <c r="N79" s="78"/>
      <c r="O79" s="78"/>
      <c r="P79" s="78"/>
    </row>
    <row r="80" ht="15" customHeight="1" outlineLevel="1">
      <c r="B80" s="4"/>
      <c r="C80" s="116"/>
      <c r="D80" s="143">
        <f>D67</f>
        <v>6</v>
      </c>
      <c r="E80" s="143">
        <f>E67</f>
        <v>6.5</v>
      </c>
      <c r="F80" s="143">
        <f>F67</f>
        <v>7</v>
      </c>
      <c r="G80" s="143">
        <f>G67</f>
        <v>7.5</v>
      </c>
      <c r="H80" s="143">
        <f>H67</f>
        <v>8</v>
      </c>
      <c r="J80" s="4"/>
      <c r="K80" s="116"/>
      <c r="L80" s="143">
        <f>D80</f>
        <v>6</v>
      </c>
      <c r="M80" s="143">
        <f>E80</f>
        <v>6.5</v>
      </c>
      <c r="N80" s="143">
        <f>F80</f>
        <v>7</v>
      </c>
      <c r="O80" s="143">
        <f>G80</f>
        <v>7.5</v>
      </c>
      <c r="P80" s="143">
        <f>H80</f>
        <v>8</v>
      </c>
    </row>
    <row r="81" ht="15" customHeight="1" outlineLevel="1">
      <c r="B81" s="118" t="s">
        <v>14</v>
      </c>
      <c r="C81" s="85">
        <f t="shared" ref="C81:C85" si="309">C68</f>
        <v>0.075866057127655331</v>
      </c>
      <c r="D81" s="774">
        <f t="shared" ref="D81:H85" si="310">D68-$O$58</f>
        <v>112220.76413287796</v>
      </c>
      <c r="E81" s="775">
        <f t="shared" si="310"/>
        <v>112220.76413287796</v>
      </c>
      <c r="F81" s="775">
        <f t="shared" si="310"/>
        <v>112220.76413287796</v>
      </c>
      <c r="G81" s="775">
        <f t="shared" si="310"/>
        <v>112220.76413287796</v>
      </c>
      <c r="H81" s="776">
        <f t="shared" si="310"/>
        <v>112220.76413287796</v>
      </c>
      <c r="J81" s="118" t="s">
        <v>14</v>
      </c>
      <c r="K81" s="85">
        <f t="shared" si="294"/>
        <v>0.075866057127655331</v>
      </c>
      <c r="L81" s="777">
        <f t="shared" ref="L81:P85" si="311">L68/$O$60-1</f>
        <v>0.4714389653696005</v>
      </c>
      <c r="M81" s="778">
        <f t="shared" si="311"/>
        <v>0.4714389653696005</v>
      </c>
      <c r="N81" s="778">
        <f t="shared" si="311"/>
        <v>0.4714389653696005</v>
      </c>
      <c r="O81" s="778">
        <f t="shared" si="311"/>
        <v>0.4714389653696005</v>
      </c>
      <c r="P81" s="779">
        <f t="shared" si="311"/>
        <v>0.4714389653696005</v>
      </c>
    </row>
    <row r="82" ht="15" customHeight="1" outlineLevel="1">
      <c r="B82" s="118"/>
      <c r="C82" s="85">
        <f t="shared" si="309"/>
        <v>0.085866057127655326</v>
      </c>
      <c r="D82" s="780">
        <f t="shared" si="310"/>
        <v>112220.76413287796</v>
      </c>
      <c r="E82" s="760">
        <f t="shared" si="310"/>
        <v>112220.76413287796</v>
      </c>
      <c r="F82" s="760">
        <f t="shared" si="310"/>
        <v>112220.76413287796</v>
      </c>
      <c r="G82" s="760">
        <f t="shared" si="310"/>
        <v>112220.76413287796</v>
      </c>
      <c r="H82" s="781">
        <f t="shared" si="310"/>
        <v>112220.76413287796</v>
      </c>
      <c r="J82" s="118"/>
      <c r="K82" s="85">
        <f t="shared" si="294"/>
        <v>0.085866057127655326</v>
      </c>
      <c r="L82" s="782">
        <f t="shared" si="311"/>
        <v>0.4714389653696005</v>
      </c>
      <c r="M82" s="761">
        <f t="shared" si="311"/>
        <v>0.4714389653696005</v>
      </c>
      <c r="N82" s="761">
        <f t="shared" si="311"/>
        <v>0.4714389653696005</v>
      </c>
      <c r="O82" s="761">
        <f t="shared" si="311"/>
        <v>0.4714389653696005</v>
      </c>
      <c r="P82" s="783">
        <f t="shared" si="311"/>
        <v>0.4714389653696005</v>
      </c>
    </row>
    <row r="83" ht="15" customHeight="1" outlineLevel="1">
      <c r="B83" s="118"/>
      <c r="C83" s="85">
        <f t="shared" si="309"/>
        <v>0.095866057127655321</v>
      </c>
      <c r="D83" s="780">
        <f t="shared" si="310"/>
        <v>112220.76413287796</v>
      </c>
      <c r="E83" s="760">
        <f t="shared" si="310"/>
        <v>112220.76413287796</v>
      </c>
      <c r="F83" s="784">
        <f t="shared" si="310"/>
        <v>112220.76413287796</v>
      </c>
      <c r="G83" s="760">
        <f t="shared" si="310"/>
        <v>112220.76413287796</v>
      </c>
      <c r="H83" s="781">
        <f t="shared" si="310"/>
        <v>112220.76413287796</v>
      </c>
      <c r="J83" s="118"/>
      <c r="K83" s="85">
        <f t="shared" si="294"/>
        <v>0.095866057127655321</v>
      </c>
      <c r="L83" s="782">
        <f t="shared" si="311"/>
        <v>0.4714389653696005</v>
      </c>
      <c r="M83" s="761">
        <f t="shared" si="311"/>
        <v>0.4714389653696005</v>
      </c>
      <c r="N83" s="785">
        <f t="shared" si="311"/>
        <v>0.4714389653696005</v>
      </c>
      <c r="O83" s="761">
        <f t="shared" si="311"/>
        <v>0.4714389653696005</v>
      </c>
      <c r="P83" s="783">
        <f t="shared" si="311"/>
        <v>0.4714389653696005</v>
      </c>
    </row>
    <row r="84" ht="15" customHeight="1" outlineLevel="1">
      <c r="B84" s="118"/>
      <c r="C84" s="85">
        <f t="shared" si="309"/>
        <v>0.10586605712765532</v>
      </c>
      <c r="D84" s="780">
        <f t="shared" si="310"/>
        <v>112220.76413287796</v>
      </c>
      <c r="E84" s="760">
        <f t="shared" si="310"/>
        <v>112220.76413287796</v>
      </c>
      <c r="F84" s="760">
        <f t="shared" si="310"/>
        <v>112220.76413287796</v>
      </c>
      <c r="G84" s="760">
        <f t="shared" si="310"/>
        <v>112220.76413287796</v>
      </c>
      <c r="H84" s="781">
        <f t="shared" si="310"/>
        <v>112220.76413287796</v>
      </c>
      <c r="J84" s="118"/>
      <c r="K84" s="85">
        <f t="shared" si="294"/>
        <v>0.10586605712765532</v>
      </c>
      <c r="L84" s="782">
        <f t="shared" si="311"/>
        <v>0.4714389653696005</v>
      </c>
      <c r="M84" s="761">
        <f t="shared" si="311"/>
        <v>0.4714389653696005</v>
      </c>
      <c r="N84" s="761">
        <f t="shared" si="311"/>
        <v>0.4714389653696005</v>
      </c>
      <c r="O84" s="761">
        <f t="shared" si="311"/>
        <v>0.4714389653696005</v>
      </c>
      <c r="P84" s="783">
        <f t="shared" si="311"/>
        <v>0.4714389653696005</v>
      </c>
    </row>
    <row r="85" ht="15" customHeight="1" outlineLevel="1">
      <c r="B85" s="118"/>
      <c r="C85" s="85">
        <f t="shared" si="309"/>
        <v>0.11586605712765531</v>
      </c>
      <c r="D85" s="786">
        <f t="shared" si="310"/>
        <v>112220.76413287796</v>
      </c>
      <c r="E85" s="787">
        <f t="shared" si="310"/>
        <v>112220.76413287796</v>
      </c>
      <c r="F85" s="787">
        <f t="shared" si="310"/>
        <v>112220.76413287796</v>
      </c>
      <c r="G85" s="787">
        <f t="shared" si="310"/>
        <v>112220.76413287796</v>
      </c>
      <c r="H85" s="788">
        <f t="shared" si="310"/>
        <v>112220.76413287796</v>
      </c>
      <c r="J85" s="118"/>
      <c r="K85" s="85">
        <f t="shared" si="294"/>
        <v>0.11586605712765531</v>
      </c>
      <c r="L85" s="789">
        <f t="shared" si="311"/>
        <v>0.4714389653696005</v>
      </c>
      <c r="M85" s="790">
        <f t="shared" si="311"/>
        <v>0.4714389653696005</v>
      </c>
      <c r="N85" s="790">
        <f t="shared" si="311"/>
        <v>0.4714389653696005</v>
      </c>
      <c r="O85" s="790">
        <f t="shared" si="311"/>
        <v>0.4714389653696005</v>
      </c>
      <c r="P85" s="791">
        <f t="shared" si="311"/>
        <v>0.4714389653696005</v>
      </c>
    </row>
    <row r="86" ht="15" customHeight="1" outlineLevel="1">
      <c r="B86" s="118"/>
      <c r="C86" s="85"/>
      <c r="D86" s="760"/>
      <c r="E86" s="760"/>
      <c r="F86" s="760"/>
      <c r="G86" s="760"/>
      <c r="H86" s="760"/>
      <c r="I86" s="4"/>
      <c r="J86" s="118"/>
      <c r="K86" s="85"/>
      <c r="L86" s="761"/>
      <c r="M86" s="761"/>
      <c r="N86" s="761"/>
      <c r="O86" s="761"/>
      <c r="P86" s="761"/>
    </row>
    <row r="87" ht="15" customHeight="1" outlineLevel="1">
      <c r="B87" s="118"/>
      <c r="C87" s="85"/>
      <c r="D87" s="133" t="str">
        <f ca="1">'Outputs-R'!S87</f>
        <v/>
      </c>
      <c r="E87" s="760"/>
      <c r="F87" s="760"/>
      <c r="G87" s="760"/>
      <c r="H87" s="760"/>
      <c r="I87" s="4"/>
      <c r="J87" s="118"/>
      <c r="K87" s="85"/>
      <c r="L87" s="761"/>
      <c r="M87" s="761"/>
      <c r="N87" s="761"/>
      <c r="O87" s="761"/>
      <c r="P87" s="132" t="s">
        <v>27</v>
      </c>
    </row>
    <row r="88" ht="15" customHeight="1" outlineLevel="1">
      <c r="B88" s="4"/>
      <c r="C88" s="4"/>
      <c r="D88" s="35"/>
      <c r="E88" s="35"/>
      <c r="F88" s="35"/>
      <c r="G88" s="35"/>
      <c r="H88" s="35"/>
    </row>
    <row r="89" ht="15" customHeight="1" outlineLevel="1"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 t="s">
        <v>0</v>
      </c>
    </row>
  </sheetData>
  <mergeCells count="8">
    <mergeCell ref="J68:J72"/>
    <mergeCell ref="J81:J85"/>
    <mergeCell ref="B24:B28"/>
    <mergeCell ref="B37:B41"/>
    <mergeCell ref="J24:J28"/>
    <mergeCell ref="J37:J41"/>
    <mergeCell ref="B68:B72"/>
    <mergeCell ref="B81:B85"/>
  </mergeCells>
  <printOptions headings="0" gridLines="0" horizontalCentered="1"/>
  <pageMargins left="0.11811023622047245" right="0.11811023622047245" top="0.11811023622047245" bottom="0.11811023622047245" header="0.11811023622047245" footer="0.11811023622047245"/>
  <pageSetup paperSize="9" scale="88" fitToWidth="1" fitToHeight="1" pageOrder="downThenOver" orientation="landscape" usePrinterDefaults="1" blackAndWhite="0" draft="0" cellComments="none" useFirstPageNumber="0" errors="displayed" horizontalDpi="600" verticalDpi="600" copies="1"/>
  <headerFooter>
    <oddFooter>&amp;L&amp;"Open Sans,Bold"&amp;10&amp;K002060DCF Valuation Modeling&amp;C&amp;"Open Sans,Bold"&amp;10&amp;K002060Page &amp;P of &amp;N&amp;R&amp;G</oddFooter>
  </headerFooter>
  <rowBreaks count="1" manualBreakCount="1">
    <brk id="46" man="1" max="17" min="1"/>
  </rowBreaks>
  <drawing r:id="rId3"/>
  <legacyDrawing r:id="rId4"/>
  <legacyDrawingHF r:id="rId5"/>
  <controls>
    <mc:AlternateContent xmlns:mc="http://schemas.openxmlformats.org/markup-compatibility/2006">
      <mc:Choice Requires="x14">
        <control name="Drop Down 1" shapeId="10245" r:id="rId1">
          <controlPr autoLine="0" autoPict="0" defaultSize="0">
            <anchor sizeWithCells="1">
              <from>
                <xdr:col>5</xdr:col>
                <xdr:colOff>0</xdr:colOff>
                <xdr:row>5</xdr:row>
                <xdr:rowOff>0</xdr:rowOff>
              </from>
              <to>
                <xdr:col>5</xdr:col>
                <xdr:colOff>781050</xdr:colOff>
                <xdr:row>6</xdr:row>
                <xdr:rowOff>0</xdr:rowOff>
              </to>
            </anchor>
          </controlPr>
        </control>
      </mc:Choice>
      <mc:Fallback>
        <control name="Drop Down 1" shapeId="10245" r:id="rId1"/>
      </mc:Fallback>
    </mc:AlternateContent>
    <mc:AlternateContent xmlns:mc="http://schemas.openxmlformats.org/markup-compatibility/2006">
      <mc:Choice Requires="x14">
        <control name="Drop Down 3" shapeId="10246" r:id="rId2">
          <controlPr autoLine="0" autoPict="0" defaultSize="0">
            <anchor sizeWithCells="1">
              <from>
                <xdr:col>5</xdr:col>
                <xdr:colOff>0</xdr:colOff>
                <xdr:row>49</xdr:row>
                <xdr:rowOff>0</xdr:rowOff>
              </from>
              <to>
                <xdr:col>6</xdr:col>
                <xdr:colOff>0</xdr:colOff>
                <xdr:row>50</xdr:row>
                <xdr:rowOff>0</xdr:rowOff>
              </to>
            </anchor>
          </controlPr>
        </control>
      </mc:Choice>
      <mc:Fallback>
        <control name="Drop Down 3" shapeId="10246" r:id="rId2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41" zoomScale="85" workbookViewId="0">
      <selection activeCell="E26" activeCellId="0" sqref="E26"/>
    </sheetView>
  </sheetViews>
  <sheetFormatPr defaultColWidth="9.140625" defaultRowHeight="15"/>
  <cols>
    <col customWidth="1" min="2" max="2" width="20.42578125"/>
    <col customWidth="1" min="3" max="3" width="12.7109375"/>
    <col customWidth="1" min="4" max="4" width="8.85546875"/>
    <col customWidth="1" min="5" max="17" width="10.85546875"/>
  </cols>
  <sheetData>
    <row r="3" ht="21">
      <c r="A3" s="541" t="s">
        <v>0</v>
      </c>
      <c r="B3" s="434" t="s">
        <v>391</v>
      </c>
    </row>
    <row r="5">
      <c r="B5" s="11" t="s">
        <v>3</v>
      </c>
    </row>
    <row r="8" ht="16.5">
      <c r="B8" s="792" t="s">
        <v>0</v>
      </c>
      <c r="E8" s="793" t="s">
        <v>392</v>
      </c>
      <c r="F8" s="793" t="s">
        <v>393</v>
      </c>
      <c r="G8" s="793" t="s">
        <v>56</v>
      </c>
      <c r="H8" s="793" t="s">
        <v>394</v>
      </c>
      <c r="I8" s="793" t="s">
        <v>9</v>
      </c>
      <c r="J8" s="794" t="s">
        <v>165</v>
      </c>
      <c r="K8" s="794"/>
      <c r="L8" s="794" t="s">
        <v>175</v>
      </c>
      <c r="M8" s="794"/>
      <c r="N8" s="794" t="s">
        <v>395</v>
      </c>
      <c r="O8" s="794"/>
      <c r="P8" s="794" t="s">
        <v>396</v>
      </c>
      <c r="Q8" s="794"/>
    </row>
    <row r="9" ht="16.5">
      <c r="B9" s="795" t="s">
        <v>397</v>
      </c>
      <c r="C9" s="240" t="s">
        <v>54</v>
      </c>
      <c r="D9" s="240" t="s">
        <v>398</v>
      </c>
      <c r="E9" s="796" t="s">
        <v>399</v>
      </c>
      <c r="F9" s="796" t="s">
        <v>400</v>
      </c>
      <c r="G9" s="796" t="s">
        <v>401</v>
      </c>
      <c r="H9" s="796" t="s">
        <v>57</v>
      </c>
      <c r="I9" s="796" t="s">
        <v>402</v>
      </c>
      <c r="J9" s="797">
        <v>2022</v>
      </c>
      <c r="K9" s="798">
        <v>2023</v>
      </c>
      <c r="L9" s="797">
        <v>2022</v>
      </c>
      <c r="M9" s="798">
        <v>2023</v>
      </c>
      <c r="N9" s="797">
        <v>2022</v>
      </c>
      <c r="O9" s="798">
        <v>2023</v>
      </c>
      <c r="P9" s="797">
        <v>2022</v>
      </c>
      <c r="Q9" s="798">
        <v>2023</v>
      </c>
    </row>
    <row r="10" ht="15.75">
      <c r="E10" s="799" t="s">
        <v>403</v>
      </c>
      <c r="F10" s="799" t="s">
        <v>404</v>
      </c>
      <c r="N10" s="800" t="s">
        <v>405</v>
      </c>
      <c r="O10" s="800" t="s">
        <v>405</v>
      </c>
      <c r="P10" s="800" t="s">
        <v>405</v>
      </c>
      <c r="Q10" s="800" t="s">
        <v>405</v>
      </c>
    </row>
    <row r="11" ht="15.75">
      <c r="B11" s="801" t="str">
        <f>Inputs!B54</f>
        <v xml:space="preserve">Peer 1</v>
      </c>
      <c r="C11" s="802" t="str">
        <f>Inputs!C54</f>
        <v xml:space="preserve">Industry 1</v>
      </c>
      <c r="D11" s="250" t="str">
        <f>Inputs!D54</f>
        <v>Canada</v>
      </c>
      <c r="E11" s="803">
        <v>3.8799999999999999</v>
      </c>
      <c r="F11" s="804">
        <v>25000</v>
      </c>
      <c r="G11" s="116">
        <f t="shared" ref="G11:G20" si="312">E11*F11</f>
        <v>97000</v>
      </c>
      <c r="H11" s="805">
        <v>25000</v>
      </c>
      <c r="I11" s="116">
        <f t="shared" ref="I11:I20" si="313">G11+H11</f>
        <v>122000</v>
      </c>
      <c r="J11" s="806">
        <v>22222</v>
      </c>
      <c r="K11" s="806">
        <v>33333</v>
      </c>
      <c r="L11" s="806">
        <v>11111</v>
      </c>
      <c r="M11" s="806">
        <v>12345</v>
      </c>
      <c r="N11" s="807">
        <f t="shared" ref="N11:O20" si="314">IFERROR($I11/J11,"NA")</f>
        <v>5.4900549005490058</v>
      </c>
      <c r="O11" s="807">
        <f t="shared" si="314"/>
        <v>3.6600366003660039</v>
      </c>
      <c r="P11" s="807">
        <f t="shared" ref="P11:Q20" si="315">IFERROR($G11/L11,"NA")</f>
        <v>8.7300873008730093</v>
      </c>
      <c r="Q11" s="807">
        <f t="shared" si="315"/>
        <v>7.8574321587687326</v>
      </c>
    </row>
    <row r="12" ht="15.75">
      <c r="B12" s="801" t="str">
        <f>Inputs!B55</f>
        <v xml:space="preserve">Peer 2</v>
      </c>
      <c r="C12" s="802" t="str">
        <f>Inputs!C55</f>
        <v xml:space="preserve">Industry 2</v>
      </c>
      <c r="D12" s="250" t="str">
        <f>Inputs!D55</f>
        <v>USA</v>
      </c>
      <c r="E12" s="803">
        <v>3.8799999999999999</v>
      </c>
      <c r="F12" s="804">
        <v>25000</v>
      </c>
      <c r="G12" s="116">
        <f t="shared" si="312"/>
        <v>97000</v>
      </c>
      <c r="H12" s="805">
        <v>25000</v>
      </c>
      <c r="I12" s="116">
        <f t="shared" si="313"/>
        <v>122000</v>
      </c>
      <c r="J12" s="806">
        <v>22222</v>
      </c>
      <c r="K12" s="806">
        <v>33333</v>
      </c>
      <c r="L12" s="806">
        <v>11111</v>
      </c>
      <c r="M12" s="806">
        <v>12345</v>
      </c>
      <c r="N12" s="807">
        <f t="shared" si="314"/>
        <v>5.4900549005490058</v>
      </c>
      <c r="O12" s="807">
        <f t="shared" si="314"/>
        <v>3.6600366003660039</v>
      </c>
      <c r="P12" s="807">
        <f t="shared" si="315"/>
        <v>8.7300873008730093</v>
      </c>
      <c r="Q12" s="807">
        <f t="shared" si="315"/>
        <v>7.8574321587687326</v>
      </c>
    </row>
    <row r="13" ht="15.75">
      <c r="B13" s="801" t="str">
        <f>Inputs!B56</f>
        <v xml:space="preserve">Peer 3</v>
      </c>
      <c r="C13" s="802" t="str">
        <f>Inputs!C56</f>
        <v xml:space="preserve">Industry 3</v>
      </c>
      <c r="D13" s="250" t="str">
        <f>Inputs!D56</f>
        <v>USA</v>
      </c>
      <c r="E13" s="803">
        <v>3.8799999999999999</v>
      </c>
      <c r="F13" s="804">
        <v>25000</v>
      </c>
      <c r="G13" s="116">
        <f t="shared" si="312"/>
        <v>97000</v>
      </c>
      <c r="H13" s="805">
        <v>25000</v>
      </c>
      <c r="I13" s="116">
        <f t="shared" si="313"/>
        <v>122000</v>
      </c>
      <c r="J13" s="806">
        <v>22222</v>
      </c>
      <c r="K13" s="806">
        <v>33333</v>
      </c>
      <c r="L13" s="806">
        <v>11111</v>
      </c>
      <c r="M13" s="806">
        <v>12345</v>
      </c>
      <c r="N13" s="807">
        <f t="shared" si="314"/>
        <v>5.4900549005490058</v>
      </c>
      <c r="O13" s="807">
        <f t="shared" si="314"/>
        <v>3.6600366003660039</v>
      </c>
      <c r="P13" s="807">
        <f t="shared" si="315"/>
        <v>8.7300873008730093</v>
      </c>
      <c r="Q13" s="807">
        <f t="shared" si="315"/>
        <v>7.8574321587687326</v>
      </c>
    </row>
    <row r="14" ht="15.75">
      <c r="B14" s="801" t="str">
        <f>Inputs!B57</f>
        <v xml:space="preserve">Peer 4</v>
      </c>
      <c r="C14" s="802" t="str">
        <f>Inputs!C57</f>
        <v xml:space="preserve">Industry 4</v>
      </c>
      <c r="D14" s="250" t="str">
        <f>Inputs!D57</f>
        <v>USA</v>
      </c>
      <c r="E14" s="803">
        <v>3.8799999999999999</v>
      </c>
      <c r="F14" s="804">
        <v>25000</v>
      </c>
      <c r="G14" s="116">
        <f t="shared" si="312"/>
        <v>97000</v>
      </c>
      <c r="H14" s="805">
        <v>25000</v>
      </c>
      <c r="I14" s="116">
        <f t="shared" si="313"/>
        <v>122000</v>
      </c>
      <c r="J14" s="806">
        <v>22222</v>
      </c>
      <c r="K14" s="806">
        <v>33333</v>
      </c>
      <c r="L14" s="806">
        <v>11111</v>
      </c>
      <c r="M14" s="806">
        <v>12345</v>
      </c>
      <c r="N14" s="807">
        <f t="shared" si="314"/>
        <v>5.4900549005490058</v>
      </c>
      <c r="O14" s="807">
        <f t="shared" si="314"/>
        <v>3.6600366003660039</v>
      </c>
      <c r="P14" s="807">
        <f t="shared" si="315"/>
        <v>8.7300873008730093</v>
      </c>
      <c r="Q14" s="807">
        <f t="shared" si="315"/>
        <v>7.8574321587687326</v>
      </c>
    </row>
    <row r="15" ht="15.75">
      <c r="B15" s="801" t="str">
        <f>Inputs!B58</f>
        <v xml:space="preserve">Peer 5</v>
      </c>
      <c r="C15" s="802" t="str">
        <f>Inputs!C58</f>
        <v xml:space="preserve">Industry 5</v>
      </c>
      <c r="D15" s="250" t="str">
        <f>Inputs!D58</f>
        <v>Canada</v>
      </c>
      <c r="E15" s="803">
        <v>3.8799999999999999</v>
      </c>
      <c r="F15" s="804">
        <v>25000</v>
      </c>
      <c r="G15" s="116">
        <f t="shared" si="312"/>
        <v>97000</v>
      </c>
      <c r="H15" s="805">
        <v>25000</v>
      </c>
      <c r="I15" s="116">
        <f t="shared" si="313"/>
        <v>122000</v>
      </c>
      <c r="J15" s="806">
        <v>22222</v>
      </c>
      <c r="K15" s="806">
        <v>33333</v>
      </c>
      <c r="L15" s="806">
        <v>11111</v>
      </c>
      <c r="M15" s="806">
        <v>12345</v>
      </c>
      <c r="N15" s="807">
        <f t="shared" si="314"/>
        <v>5.4900549005490058</v>
      </c>
      <c r="O15" s="807">
        <f t="shared" si="314"/>
        <v>3.6600366003660039</v>
      </c>
      <c r="P15" s="807">
        <f t="shared" si="315"/>
        <v>8.7300873008730093</v>
      </c>
      <c r="Q15" s="807">
        <f t="shared" si="315"/>
        <v>7.8574321587687326</v>
      </c>
    </row>
    <row r="16" ht="15.75">
      <c r="B16" s="801" t="str">
        <f>Inputs!B59</f>
        <v xml:space="preserve">Peer 6</v>
      </c>
      <c r="C16" s="802" t="str">
        <f>Inputs!C59</f>
        <v xml:space="preserve">Industry 6</v>
      </c>
      <c r="D16" s="250" t="str">
        <f>Inputs!D59</f>
        <v>Canada</v>
      </c>
      <c r="E16" s="803">
        <v>3.8799999999999999</v>
      </c>
      <c r="F16" s="804">
        <v>25000</v>
      </c>
      <c r="G16" s="116">
        <f t="shared" si="312"/>
        <v>97000</v>
      </c>
      <c r="H16" s="805">
        <v>25000</v>
      </c>
      <c r="I16" s="116">
        <f t="shared" si="313"/>
        <v>122000</v>
      </c>
      <c r="J16" s="806">
        <v>22222</v>
      </c>
      <c r="K16" s="806">
        <v>33333</v>
      </c>
      <c r="L16" s="806">
        <v>11111</v>
      </c>
      <c r="M16" s="806">
        <v>12345</v>
      </c>
      <c r="N16" s="807">
        <f t="shared" si="314"/>
        <v>5.4900549005490058</v>
      </c>
      <c r="O16" s="807">
        <f t="shared" si="314"/>
        <v>3.6600366003660039</v>
      </c>
      <c r="P16" s="807">
        <f t="shared" si="315"/>
        <v>8.7300873008730093</v>
      </c>
      <c r="Q16" s="807">
        <f t="shared" si="315"/>
        <v>7.8574321587687326</v>
      </c>
    </row>
    <row r="17" ht="15.75">
      <c r="B17" s="801" t="str">
        <f>Inputs!B60</f>
        <v xml:space="preserve">Peer 7</v>
      </c>
      <c r="C17" s="802" t="str">
        <f>Inputs!C60</f>
        <v xml:space="preserve">Industry 7</v>
      </c>
      <c r="D17" s="250" t="str">
        <f>Inputs!D60</f>
        <v>USA</v>
      </c>
      <c r="E17" s="803">
        <v>3.8799999999999999</v>
      </c>
      <c r="F17" s="804">
        <v>25000</v>
      </c>
      <c r="G17" s="116">
        <f t="shared" si="312"/>
        <v>97000</v>
      </c>
      <c r="H17" s="805">
        <v>25000</v>
      </c>
      <c r="I17" s="116">
        <f t="shared" si="313"/>
        <v>122000</v>
      </c>
      <c r="J17" s="806">
        <v>22222</v>
      </c>
      <c r="K17" s="806">
        <v>33333</v>
      </c>
      <c r="L17" s="806">
        <v>11111</v>
      </c>
      <c r="M17" s="806">
        <v>12345</v>
      </c>
      <c r="N17" s="807">
        <f t="shared" si="314"/>
        <v>5.4900549005490058</v>
      </c>
      <c r="O17" s="807">
        <f t="shared" si="314"/>
        <v>3.6600366003660039</v>
      </c>
      <c r="P17" s="807">
        <f t="shared" si="315"/>
        <v>8.7300873008730093</v>
      </c>
      <c r="Q17" s="807">
        <f t="shared" si="315"/>
        <v>7.8574321587687326</v>
      </c>
    </row>
    <row r="18" ht="15.75">
      <c r="B18" s="801" t="str">
        <f>Inputs!B61</f>
        <v xml:space="preserve">Peer 8</v>
      </c>
      <c r="C18" s="802" t="str">
        <f>Inputs!C61</f>
        <v xml:space="preserve">Industry 8</v>
      </c>
      <c r="D18" s="250" t="str">
        <f>Inputs!D61</f>
        <v>Canada</v>
      </c>
      <c r="E18" s="803">
        <v>3.8799999999999999</v>
      </c>
      <c r="F18" s="804">
        <v>25000</v>
      </c>
      <c r="G18" s="116">
        <f t="shared" si="312"/>
        <v>97000</v>
      </c>
      <c r="H18" s="805">
        <v>25000</v>
      </c>
      <c r="I18" s="116">
        <f t="shared" si="313"/>
        <v>122000</v>
      </c>
      <c r="J18" s="806">
        <v>22222</v>
      </c>
      <c r="K18" s="806">
        <v>33333</v>
      </c>
      <c r="L18" s="806">
        <v>11111</v>
      </c>
      <c r="M18" s="806">
        <v>12345</v>
      </c>
      <c r="N18" s="807">
        <f t="shared" si="314"/>
        <v>5.4900549005490058</v>
      </c>
      <c r="O18" s="807">
        <f t="shared" si="314"/>
        <v>3.6600366003660039</v>
      </c>
      <c r="P18" s="807">
        <f t="shared" si="315"/>
        <v>8.7300873008730093</v>
      </c>
      <c r="Q18" s="807">
        <f t="shared" si="315"/>
        <v>7.8574321587687326</v>
      </c>
    </row>
    <row r="19" ht="15.75">
      <c r="B19" s="801" t="str">
        <f>Inputs!B62</f>
        <v xml:space="preserve">Peer 9</v>
      </c>
      <c r="C19" s="802" t="str">
        <f>Inputs!C62</f>
        <v xml:space="preserve">Industry 9</v>
      </c>
      <c r="D19" s="250" t="str">
        <f>Inputs!D62</f>
        <v>Ghana</v>
      </c>
      <c r="E19" s="803">
        <v>3.8799999999999999</v>
      </c>
      <c r="F19" s="804">
        <v>25000</v>
      </c>
      <c r="G19" s="116">
        <f t="shared" si="312"/>
        <v>97000</v>
      </c>
      <c r="H19" s="805">
        <v>25000</v>
      </c>
      <c r="I19" s="116">
        <f t="shared" si="313"/>
        <v>122000</v>
      </c>
      <c r="J19" s="806">
        <v>22222</v>
      </c>
      <c r="K19" s="806">
        <v>33333</v>
      </c>
      <c r="L19" s="806">
        <v>11111</v>
      </c>
      <c r="M19" s="806">
        <v>12345</v>
      </c>
      <c r="N19" s="807">
        <f t="shared" si="314"/>
        <v>5.4900549005490058</v>
      </c>
      <c r="O19" s="807">
        <f t="shared" si="314"/>
        <v>3.6600366003660039</v>
      </c>
      <c r="P19" s="807">
        <f t="shared" si="315"/>
        <v>8.7300873008730093</v>
      </c>
      <c r="Q19" s="807">
        <f t="shared" si="315"/>
        <v>7.8574321587687326</v>
      </c>
    </row>
    <row r="20" ht="15.75">
      <c r="B20" s="801" t="str">
        <f>Inputs!B63</f>
        <v xml:space="preserve">Peer 10</v>
      </c>
      <c r="C20" s="802" t="str">
        <f>Inputs!C63</f>
        <v xml:space="preserve">Industry 10</v>
      </c>
      <c r="D20" s="250" t="str">
        <f>Inputs!D63</f>
        <v>China</v>
      </c>
      <c r="E20" s="803">
        <v>3.8799999999999999</v>
      </c>
      <c r="F20" s="804">
        <v>25000</v>
      </c>
      <c r="G20" s="116">
        <f t="shared" si="312"/>
        <v>97000</v>
      </c>
      <c r="H20" s="805">
        <v>25000</v>
      </c>
      <c r="I20" s="116">
        <f t="shared" si="313"/>
        <v>122000</v>
      </c>
      <c r="J20" s="806">
        <v>22222</v>
      </c>
      <c r="K20" s="806">
        <v>33333</v>
      </c>
      <c r="L20" s="806">
        <v>11111</v>
      </c>
      <c r="M20" s="806">
        <v>12345</v>
      </c>
      <c r="N20" s="807">
        <f t="shared" si="314"/>
        <v>5.4900549005490058</v>
      </c>
      <c r="O20" s="807">
        <f t="shared" si="314"/>
        <v>3.6600366003660039</v>
      </c>
      <c r="P20" s="807">
        <f t="shared" si="315"/>
        <v>8.7300873008730093</v>
      </c>
      <c r="Q20" s="807">
        <f t="shared" si="315"/>
        <v>7.8574321587687326</v>
      </c>
    </row>
    <row r="23">
      <c r="B23" s="808" t="s">
        <v>49</v>
      </c>
      <c r="N23" s="807">
        <f>+AVERAGE(N$11:N$16)</f>
        <v>5.4900549005490058</v>
      </c>
      <c r="O23" s="807">
        <f>+AVERAGE(O$11:O$16)</f>
        <v>3.6600366003660043</v>
      </c>
      <c r="P23" s="807">
        <f>+AVERAGE(P$11:P$16)</f>
        <v>8.7300873008730093</v>
      </c>
      <c r="Q23" s="807">
        <f>+AVERAGE(Q$11:Q$16)</f>
        <v>7.8574321587687317</v>
      </c>
    </row>
    <row r="24">
      <c r="B24" s="808" t="s">
        <v>86</v>
      </c>
      <c r="N24" s="807">
        <f>+MEDIAN(N$11:N$16)</f>
        <v>5.4900549005490058</v>
      </c>
      <c r="O24" s="807">
        <f>+MEDIAN(O$11:O$16)</f>
        <v>3.6600366003660039</v>
      </c>
      <c r="P24" s="807">
        <f>+MEDIAN(P$11:P$16)</f>
        <v>8.7300873008730093</v>
      </c>
      <c r="Q24" s="807">
        <f>+MEDIAN(Q$11:Q$16)</f>
        <v>7.8574321587687326</v>
      </c>
    </row>
    <row r="25">
      <c r="B25" s="808" t="s">
        <v>406</v>
      </c>
      <c r="N25" s="807">
        <f>+MAX(N$11:N$16)</f>
        <v>5.4900549005490058</v>
      </c>
      <c r="O25" s="807">
        <f>+MAX(O$11:O$16)</f>
        <v>3.6600366003660039</v>
      </c>
      <c r="P25" s="807">
        <f>+MAX(P$11:P$16)</f>
        <v>8.7300873008730093</v>
      </c>
      <c r="Q25" s="807">
        <f>+MAX(Q$11:Q$16)</f>
        <v>7.8574321587687326</v>
      </c>
    </row>
    <row r="26">
      <c r="B26" s="808" t="s">
        <v>407</v>
      </c>
      <c r="N26" s="807">
        <f>+MIN(N$11:N$16)</f>
        <v>5.4900549005490058</v>
      </c>
      <c r="O26" s="807">
        <f>+MIN(O$11:O$16)</f>
        <v>3.6600366003660039</v>
      </c>
      <c r="P26" s="807">
        <f>+MIN(P$11:P$16)</f>
        <v>8.7300873008730093</v>
      </c>
      <c r="Q26" s="807">
        <f>+MIN(Q$11:Q$16)</f>
        <v>7.8574321587687326</v>
      </c>
    </row>
    <row r="29">
      <c r="B29" s="809" t="s">
        <v>408</v>
      </c>
    </row>
    <row r="30" ht="15.75">
      <c r="B30" s="810" t="str">
        <f>$J$9&amp;"A EV/EBITDA"</f>
        <v xml:space="preserve">2022A EV/EBITDA</v>
      </c>
      <c r="E30" s="86">
        <f t="shared" ref="E30:E33" si="316">G30/F30</f>
        <v>2.6352029217660595</v>
      </c>
      <c r="F30" s="811">
        <f>Inputs!F113</f>
        <v>34200</v>
      </c>
      <c r="G30" s="116">
        <f t="shared" ref="G30:G31" si="317">I30-H30</f>
        <v>90123.939924399237</v>
      </c>
      <c r="H30" s="812">
        <f>Inputs!L102</f>
        <v>18642</v>
      </c>
      <c r="I30" s="116">
        <f>J30*N30</f>
        <v>108765.93992439924</v>
      </c>
      <c r="J30" s="813">
        <f>Model!H562</f>
        <v>19811.448499999999</v>
      </c>
      <c r="N30" s="807">
        <f>N24</f>
        <v>5.4900549005490058</v>
      </c>
    </row>
    <row r="31" ht="15.75">
      <c r="B31" s="810" t="str">
        <f>$K$9&amp;"F EV/EBITDA"</f>
        <v xml:space="preserve">2023F EV/EBITDA</v>
      </c>
      <c r="E31" s="86">
        <f t="shared" si="316"/>
        <v>1.6205457647515074</v>
      </c>
      <c r="F31" s="814">
        <f t="shared" ref="F31:F33" si="318">F30</f>
        <v>34200</v>
      </c>
      <c r="G31" s="116">
        <f t="shared" si="317"/>
        <v>55422.665154501548</v>
      </c>
      <c r="H31" s="815">
        <f t="shared" ref="H31:H33" si="319">H30</f>
        <v>18642</v>
      </c>
      <c r="I31" s="815">
        <f>K31*O31</f>
        <v>74064.665154501548</v>
      </c>
      <c r="K31" s="813">
        <f>Model!I562</f>
        <v>20236.044947499999</v>
      </c>
      <c r="O31" s="816">
        <f>O24</f>
        <v>3.6600366003660039</v>
      </c>
    </row>
    <row r="32" ht="15.75">
      <c r="B32" s="810" t="str">
        <f>$L$9&amp;"A P/E"</f>
        <v xml:space="preserve">2022A P/E</v>
      </c>
      <c r="E32" s="86">
        <f t="shared" si="316"/>
        <v>2.8565377877462983</v>
      </c>
      <c r="F32" s="814">
        <f t="shared" si="318"/>
        <v>34200</v>
      </c>
      <c r="G32" s="116">
        <f>L32*P32</f>
        <v>97693.592340923409</v>
      </c>
      <c r="H32" s="815">
        <f t="shared" si="319"/>
        <v>18642</v>
      </c>
      <c r="I32" s="815">
        <f t="shared" ref="I32:I33" si="320">G32+H32</f>
        <v>116335.59234092341</v>
      </c>
      <c r="L32" s="813">
        <f>Model!H554</f>
        <v>11190.448499999999</v>
      </c>
      <c r="P32" s="816">
        <f>P24</f>
        <v>8.7300873008730093</v>
      </c>
    </row>
    <row r="33" ht="15.75">
      <c r="B33" s="810" t="str">
        <f>$M$9&amp;"F P/E"</f>
        <v xml:space="preserve">2023F P/E</v>
      </c>
      <c r="E33" s="86">
        <f t="shared" si="316"/>
        <v>2.4549663574543636</v>
      </c>
      <c r="F33" s="814">
        <f t="shared" si="318"/>
        <v>34200</v>
      </c>
      <c r="G33" s="116">
        <f>+M33*Q33</f>
        <v>83959.849424939239</v>
      </c>
      <c r="H33" s="815">
        <f t="shared" si="319"/>
        <v>18642</v>
      </c>
      <c r="I33" s="815">
        <f t="shared" si="320"/>
        <v>102601.84942493924</v>
      </c>
      <c r="M33" s="813">
        <f>Model!I554</f>
        <v>10685.405578874999</v>
      </c>
      <c r="Q33" s="816">
        <f>Q24</f>
        <v>7.8574321587687326</v>
      </c>
    </row>
    <row r="36" ht="15.75">
      <c r="Q36" s="817" t="s">
        <v>409</v>
      </c>
    </row>
    <row r="37" ht="15.75">
      <c r="Q37" s="818" t="s">
        <v>410</v>
      </c>
    </row>
    <row r="42" ht="21">
      <c r="A42" s="541" t="s">
        <v>0</v>
      </c>
      <c r="B42" s="434" t="s">
        <v>411</v>
      </c>
    </row>
    <row r="44">
      <c r="B44" s="11" t="s">
        <v>3</v>
      </c>
    </row>
    <row r="46" ht="15.75">
      <c r="E46" s="793" t="s">
        <v>392</v>
      </c>
      <c r="F46" s="793" t="s">
        <v>412</v>
      </c>
      <c r="G46" s="793" t="s">
        <v>413</v>
      </c>
      <c r="H46" s="793" t="s">
        <v>393</v>
      </c>
      <c r="I46" s="793" t="s">
        <v>414</v>
      </c>
      <c r="J46" s="793" t="s">
        <v>394</v>
      </c>
      <c r="K46" s="819" t="s">
        <v>9</v>
      </c>
      <c r="L46" s="820" t="s">
        <v>165</v>
      </c>
      <c r="O46" s="820" t="s">
        <v>395</v>
      </c>
    </row>
    <row r="47" ht="15.75">
      <c r="B47" s="795" t="s">
        <v>415</v>
      </c>
      <c r="C47" s="795" t="s">
        <v>416</v>
      </c>
      <c r="D47" s="795" t="s">
        <v>98</v>
      </c>
      <c r="E47" s="796" t="s">
        <v>399</v>
      </c>
      <c r="F47" s="796" t="s">
        <v>399</v>
      </c>
      <c r="G47" s="796" t="s">
        <v>417</v>
      </c>
      <c r="H47" s="796" t="s">
        <v>400</v>
      </c>
      <c r="I47" s="796" t="s">
        <v>418</v>
      </c>
      <c r="J47" s="796" t="s">
        <v>57</v>
      </c>
      <c r="K47" s="819" t="s">
        <v>11</v>
      </c>
      <c r="L47" s="797">
        <v>2022</v>
      </c>
      <c r="M47" s="798">
        <v>2023</v>
      </c>
      <c r="N47" s="798">
        <v>2024</v>
      </c>
      <c r="O47" s="797">
        <v>2022</v>
      </c>
      <c r="P47" s="798">
        <v>2023</v>
      </c>
      <c r="Q47" s="798">
        <v>2024</v>
      </c>
    </row>
    <row r="48" ht="15.75">
      <c r="B48" s="821" t="s">
        <v>419</v>
      </c>
      <c r="E48" s="799" t="s">
        <v>403</v>
      </c>
      <c r="F48" s="799" t="s">
        <v>403</v>
      </c>
      <c r="H48" s="799" t="s">
        <v>404</v>
      </c>
      <c r="O48" s="800" t="s">
        <v>405</v>
      </c>
      <c r="P48" s="800" t="s">
        <v>405</v>
      </c>
      <c r="Q48" s="800" t="s">
        <v>405</v>
      </c>
    </row>
    <row r="49">
      <c r="B49" s="822">
        <v>44631</v>
      </c>
      <c r="C49" s="823" t="s">
        <v>420</v>
      </c>
      <c r="D49" s="823" t="s">
        <v>421</v>
      </c>
      <c r="E49" s="824">
        <v>25.5</v>
      </c>
      <c r="F49" s="824">
        <v>31.109999999999999</v>
      </c>
      <c r="G49" s="825">
        <f t="shared" ref="G49:G70" si="321">F49/E49-1</f>
        <v>0.21999999999999997</v>
      </c>
      <c r="H49" s="826">
        <v>129</v>
      </c>
      <c r="I49" s="827">
        <f t="shared" ref="I49:I58" si="322">H49*F49</f>
        <v>4013.1900000000001</v>
      </c>
      <c r="J49" s="826">
        <v>2528.3096999999998</v>
      </c>
      <c r="K49" s="828">
        <f t="shared" ref="K49:K58" si="323">I49+J49</f>
        <v>6541.4997000000003</v>
      </c>
      <c r="L49" s="829">
        <v>485</v>
      </c>
      <c r="M49" s="829">
        <v>509.25</v>
      </c>
      <c r="N49" s="829">
        <v>534.71249999999998</v>
      </c>
      <c r="O49" s="807">
        <f t="shared" ref="O49:Q58" si="324">IFERROR($K49/L49,"NA")</f>
        <v>13.487628247422681</v>
      </c>
      <c r="P49" s="807">
        <f t="shared" si="324"/>
        <v>12.845360235640648</v>
      </c>
      <c r="Q49" s="807">
        <f t="shared" si="324"/>
        <v>12.233676414895857</v>
      </c>
    </row>
    <row r="50">
      <c r="B50" s="822">
        <v>44626</v>
      </c>
      <c r="C50" s="823" t="s">
        <v>422</v>
      </c>
      <c r="D50" s="823" t="s">
        <v>423</v>
      </c>
      <c r="E50" s="824">
        <v>37.25</v>
      </c>
      <c r="F50" s="824">
        <v>46.560000000000002</v>
      </c>
      <c r="G50" s="825">
        <f t="shared" si="321"/>
        <v>0.24993288590604035</v>
      </c>
      <c r="H50" s="826">
        <v>568</v>
      </c>
      <c r="I50" s="827">
        <f t="shared" si="322"/>
        <v>26446.080000000002</v>
      </c>
      <c r="J50" s="826">
        <v>18247.7952</v>
      </c>
      <c r="K50" s="828">
        <f t="shared" si="323"/>
        <v>44693.875200000002</v>
      </c>
      <c r="L50" s="829">
        <v>4382</v>
      </c>
      <c r="M50" s="829">
        <v>4688.7400000000007</v>
      </c>
      <c r="N50" s="829">
        <v>5063.8392000000013</v>
      </c>
      <c r="O50" s="807">
        <f t="shared" si="324"/>
        <v>10.199423824737563</v>
      </c>
      <c r="P50" s="807">
        <f t="shared" si="324"/>
        <v>9.5321717988201513</v>
      </c>
      <c r="Q50" s="807">
        <f t="shared" si="324"/>
        <v>8.8260849989075467</v>
      </c>
    </row>
    <row r="51">
      <c r="B51" s="822">
        <v>44456</v>
      </c>
      <c r="C51" s="823" t="s">
        <v>424</v>
      </c>
      <c r="D51" s="823" t="s">
        <v>425</v>
      </c>
      <c r="E51" s="824">
        <v>16.800000000000001</v>
      </c>
      <c r="F51" s="824">
        <v>21.170000000000002</v>
      </c>
      <c r="G51" s="825">
        <f t="shared" si="321"/>
        <v>0.26011904761904758</v>
      </c>
      <c r="H51" s="826">
        <v>688</v>
      </c>
      <c r="I51" s="827">
        <f t="shared" si="322"/>
        <v>14564.960000000001</v>
      </c>
      <c r="J51" s="826">
        <v>9758.5231999999996</v>
      </c>
      <c r="K51" s="828">
        <f t="shared" si="323"/>
        <v>24323.483200000002</v>
      </c>
      <c r="L51" s="829">
        <v>1622</v>
      </c>
      <c r="M51" s="829">
        <v>1784.2</v>
      </c>
      <c r="N51" s="829">
        <v>1891.2520000000002</v>
      </c>
      <c r="O51" s="807">
        <f t="shared" si="324"/>
        <v>14.995982244143034</v>
      </c>
      <c r="P51" s="807">
        <f t="shared" si="324"/>
        <v>13.632711131039121</v>
      </c>
      <c r="Q51" s="807">
        <f t="shared" si="324"/>
        <v>12.86104823682936</v>
      </c>
    </row>
    <row r="52">
      <c r="B52" s="822">
        <v>44148</v>
      </c>
      <c r="C52" s="823" t="s">
        <v>426</v>
      </c>
      <c r="D52" s="823" t="s">
        <v>427</v>
      </c>
      <c r="E52" s="824">
        <v>31.109999999999999</v>
      </c>
      <c r="F52" s="824">
        <v>37.329999999999998</v>
      </c>
      <c r="G52" s="825">
        <f t="shared" si="321"/>
        <v>0.19993571198971383</v>
      </c>
      <c r="H52" s="826">
        <v>1429</v>
      </c>
      <c r="I52" s="827">
        <f t="shared" si="322"/>
        <v>53344.57</v>
      </c>
      <c r="J52" s="826">
        <v>34673.970499999996</v>
      </c>
      <c r="K52" s="828">
        <f t="shared" si="323"/>
        <v>88018.540500000003</v>
      </c>
      <c r="L52" s="829">
        <v>8075</v>
      </c>
      <c r="M52" s="829">
        <v>8882.5</v>
      </c>
      <c r="N52" s="829">
        <v>9681.9250000000011</v>
      </c>
      <c r="O52" s="807">
        <f t="shared" si="324"/>
        <v>10.900128854489164</v>
      </c>
      <c r="P52" s="807">
        <f t="shared" si="324"/>
        <v>9.9092080495356036</v>
      </c>
      <c r="Q52" s="807">
        <f t="shared" si="324"/>
        <v>9.0910165592069756</v>
      </c>
    </row>
    <row r="53">
      <c r="B53" s="822">
        <v>44056</v>
      </c>
      <c r="C53" s="823" t="s">
        <v>428</v>
      </c>
      <c r="D53" s="823" t="s">
        <v>429</v>
      </c>
      <c r="E53" s="824">
        <v>29.289999999999999</v>
      </c>
      <c r="F53" s="824">
        <v>37.200000000000003</v>
      </c>
      <c r="G53" s="825">
        <f t="shared" si="321"/>
        <v>0.27005804028678737</v>
      </c>
      <c r="H53" s="826">
        <v>1198</v>
      </c>
      <c r="I53" s="827">
        <f t="shared" si="322"/>
        <v>44565.600000000006</v>
      </c>
      <c r="J53" s="826">
        <v>27630.672000000002</v>
      </c>
      <c r="K53" s="828">
        <f t="shared" si="323"/>
        <v>72196.272000000012</v>
      </c>
      <c r="L53" s="829">
        <v>4512</v>
      </c>
      <c r="M53" s="829">
        <v>4918.0799999999999</v>
      </c>
      <c r="N53" s="829">
        <v>5311.5264000000006</v>
      </c>
      <c r="O53" s="807">
        <f t="shared" si="324"/>
        <v>16.000946808510641</v>
      </c>
      <c r="P53" s="807">
        <f t="shared" si="324"/>
        <v>14.679767714229946</v>
      </c>
      <c r="Q53" s="807">
        <f t="shared" si="324"/>
        <v>13.592377513175874</v>
      </c>
    </row>
    <row r="54">
      <c r="B54" s="822">
        <v>43952</v>
      </c>
      <c r="C54" s="823" t="s">
        <v>430</v>
      </c>
      <c r="D54" s="823" t="s">
        <v>431</v>
      </c>
      <c r="E54" s="824">
        <v>12.34</v>
      </c>
      <c r="F54" s="824">
        <v>15.300000000000001</v>
      </c>
      <c r="G54" s="825">
        <f t="shared" si="321"/>
        <v>0.23987034035656407</v>
      </c>
      <c r="H54" s="826">
        <v>934</v>
      </c>
      <c r="I54" s="827">
        <f t="shared" si="322"/>
        <v>14290.200000000001</v>
      </c>
      <c r="J54" s="826">
        <v>9145.728000000001</v>
      </c>
      <c r="K54" s="828">
        <f t="shared" si="323"/>
        <v>23435.928</v>
      </c>
      <c r="L54" s="829">
        <v>2092</v>
      </c>
      <c r="M54" s="829">
        <v>2280.2800000000002</v>
      </c>
      <c r="N54" s="829">
        <v>2485.5052000000005</v>
      </c>
      <c r="O54" s="807">
        <f t="shared" si="324"/>
        <v>11.202642447418738</v>
      </c>
      <c r="P54" s="807">
        <f t="shared" si="324"/>
        <v>10.277653621485079</v>
      </c>
      <c r="Q54" s="807">
        <f t="shared" si="324"/>
        <v>9.4290400197110813</v>
      </c>
    </row>
    <row r="55">
      <c r="B55" s="822">
        <v>44091</v>
      </c>
      <c r="C55" s="823" t="s">
        <v>432</v>
      </c>
      <c r="D55" s="823" t="s">
        <v>433</v>
      </c>
      <c r="E55" s="824">
        <v>9</v>
      </c>
      <c r="F55" s="824">
        <v>8.75</v>
      </c>
      <c r="G55" s="825">
        <f t="shared" si="321"/>
        <v>-0.02777777777777779</v>
      </c>
      <c r="H55" s="826">
        <v>156</v>
      </c>
      <c r="I55" s="827">
        <f t="shared" si="322"/>
        <v>1365</v>
      </c>
      <c r="J55" s="826">
        <v>859.95000000000005</v>
      </c>
      <c r="K55" s="828">
        <f t="shared" si="323"/>
        <v>2224.9499999999998</v>
      </c>
      <c r="L55" s="829">
        <v>371</v>
      </c>
      <c r="M55" s="829">
        <v>404.39000000000004</v>
      </c>
      <c r="N55" s="829">
        <v>424.60950000000008</v>
      </c>
      <c r="O55" s="807">
        <f t="shared" si="324"/>
        <v>5.9971698113207541</v>
      </c>
      <c r="P55" s="807">
        <f t="shared" si="324"/>
        <v>5.501990652587847</v>
      </c>
      <c r="Q55" s="807">
        <f t="shared" si="324"/>
        <v>5.2399910977027115</v>
      </c>
    </row>
    <row r="56">
      <c r="B56" s="822">
        <v>42264</v>
      </c>
      <c r="C56" s="823" t="s">
        <v>432</v>
      </c>
      <c r="D56" s="823" t="s">
        <v>434</v>
      </c>
      <c r="E56" s="824">
        <v>23.82</v>
      </c>
      <c r="F56" s="824">
        <v>30.489599999999999</v>
      </c>
      <c r="G56" s="825">
        <f t="shared" si="321"/>
        <v>0.28000000000000003</v>
      </c>
      <c r="H56" s="826">
        <v>1219</v>
      </c>
      <c r="I56" s="827">
        <f t="shared" si="322"/>
        <v>37166.822399999997</v>
      </c>
      <c r="J56" s="826">
        <v>25273.439231999997</v>
      </c>
      <c r="K56" s="828">
        <f t="shared" si="323"/>
        <v>62440.261631999994</v>
      </c>
      <c r="L56" s="829">
        <v>4995</v>
      </c>
      <c r="M56" s="829">
        <v>5144.8500000000004</v>
      </c>
      <c r="N56" s="829">
        <v>5299.1955000000007</v>
      </c>
      <c r="O56" s="807">
        <f t="shared" si="324"/>
        <v>12.500552879279278</v>
      </c>
      <c r="P56" s="807">
        <f t="shared" si="324"/>
        <v>12.136459106096385</v>
      </c>
      <c r="Q56" s="807">
        <f t="shared" si="324"/>
        <v>11.78297000591882</v>
      </c>
    </row>
    <row r="57">
      <c r="B57" s="822">
        <v>41956</v>
      </c>
      <c r="C57" s="823" t="s">
        <v>435</v>
      </c>
      <c r="D57" s="823" t="s">
        <v>436</v>
      </c>
      <c r="E57" s="824">
        <v>60</v>
      </c>
      <c r="F57" s="824">
        <v>72.5</v>
      </c>
      <c r="G57" s="825">
        <f t="shared" si="321"/>
        <v>0.20833333333333326</v>
      </c>
      <c r="H57" s="826">
        <v>141</v>
      </c>
      <c r="I57" s="827">
        <f t="shared" si="322"/>
        <v>10222.5</v>
      </c>
      <c r="J57" s="826">
        <v>6337.9499999999998</v>
      </c>
      <c r="K57" s="828">
        <f t="shared" si="323"/>
        <v>16560.450000000001</v>
      </c>
      <c r="L57" s="829">
        <v>974</v>
      </c>
      <c r="M57" s="829">
        <v>1071.4000000000001</v>
      </c>
      <c r="N57" s="829">
        <v>1178.5400000000002</v>
      </c>
      <c r="O57" s="807">
        <f t="shared" si="324"/>
        <v>17.00251540041068</v>
      </c>
      <c r="P57" s="807">
        <f t="shared" si="324"/>
        <v>15.456832182191524</v>
      </c>
      <c r="Q57" s="807">
        <f t="shared" si="324"/>
        <v>14.051665620174113</v>
      </c>
    </row>
    <row r="58">
      <c r="B58" s="822">
        <v>41864</v>
      </c>
      <c r="C58" s="823" t="s">
        <v>437</v>
      </c>
      <c r="D58" s="823" t="s">
        <v>438</v>
      </c>
      <c r="E58" s="824">
        <v>14</v>
      </c>
      <c r="F58" s="824">
        <v>17.359999999999999</v>
      </c>
      <c r="G58" s="825">
        <f t="shared" si="321"/>
        <v>0.23999999999999999</v>
      </c>
      <c r="H58" s="826">
        <v>1377</v>
      </c>
      <c r="I58" s="827">
        <f t="shared" si="322"/>
        <v>23904.719999999998</v>
      </c>
      <c r="J58" s="826">
        <v>14342.831999999999</v>
      </c>
      <c r="K58" s="828">
        <f t="shared" si="323"/>
        <v>38247.551999999996</v>
      </c>
      <c r="L58" s="829">
        <v>2318</v>
      </c>
      <c r="M58" s="829">
        <v>2503.4400000000001</v>
      </c>
      <c r="N58" s="829">
        <v>2728.7496000000001</v>
      </c>
      <c r="O58" s="807">
        <f t="shared" si="324"/>
        <v>16.500238136324416</v>
      </c>
      <c r="P58" s="807">
        <f t="shared" si="324"/>
        <v>15.277998274374459</v>
      </c>
      <c r="Q58" s="807">
        <f t="shared" si="324"/>
        <v>14.016512178325192</v>
      </c>
    </row>
    <row r="61">
      <c r="B61" s="808" t="s">
        <v>49</v>
      </c>
      <c r="O61" s="807">
        <f>+AVERAGE(O$49:O$54)</f>
        <v>12.797792071120305</v>
      </c>
      <c r="P61" s="807">
        <f>+AVERAGE(P$49:P$54)</f>
        <v>11.812812091791757</v>
      </c>
      <c r="Q61" s="807">
        <f>+AVERAGE(Q$49:Q$54)</f>
        <v>11.005540623787782</v>
      </c>
    </row>
    <row r="62">
      <c r="B62" s="808" t="s">
        <v>86</v>
      </c>
      <c r="O62" s="807">
        <f>+MEDIAN(O$49:O$54)</f>
        <v>12.345135347420708</v>
      </c>
      <c r="P62" s="807">
        <f>+MEDIAN(P$49:P$54)</f>
        <v>11.561506928562864</v>
      </c>
      <c r="Q62" s="807">
        <f>+MEDIAN(Q$49:Q$54)</f>
        <v>10.831358217303469</v>
      </c>
    </row>
    <row r="63">
      <c r="B63" s="810" t="s">
        <v>406</v>
      </c>
      <c r="O63" s="807">
        <f>+MAX(O$49:O$54)</f>
        <v>16.000946808510641</v>
      </c>
      <c r="P63" s="807">
        <f>+MAX(P$49:P$54)</f>
        <v>14.679767714229946</v>
      </c>
      <c r="Q63" s="807">
        <f>+MAX(Q$49:Q$54)</f>
        <v>13.592377513175874</v>
      </c>
    </row>
    <row r="64">
      <c r="B64" s="810" t="s">
        <v>407</v>
      </c>
      <c r="O64" s="807">
        <f>+MIN(O$49:O$54)</f>
        <v>10.199423824737563</v>
      </c>
      <c r="P64" s="807">
        <f t="shared" ref="P64:Q64" si="325">+MIN(P$49:P$54)</f>
        <v>9.5321717988201513</v>
      </c>
      <c r="Q64" s="807">
        <f t="shared" si="325"/>
        <v>8.8260849989075467</v>
      </c>
    </row>
    <row r="67">
      <c r="B67" s="809" t="s">
        <v>408</v>
      </c>
    </row>
    <row r="68" ht="15.75">
      <c r="B68" s="810" t="str">
        <f>$L$47&amp;"A EV/EBITDA"</f>
        <v xml:space="preserve">2022A EV/EBITDA</v>
      </c>
      <c r="E68" s="830">
        <f>Inputs!F116</f>
        <v>7</v>
      </c>
      <c r="F68" s="831">
        <f t="shared" ref="F68:F70" si="326">I68/H68</f>
        <v>6.6062284549986829</v>
      </c>
      <c r="G68" s="832">
        <f t="shared" si="321"/>
        <v>-0.056253077857331024</v>
      </c>
      <c r="H68" s="812">
        <f>Inputs!F113</f>
        <v>34200</v>
      </c>
      <c r="I68" s="815">
        <f t="shared" ref="I68:I70" si="327">K68-J68</f>
        <v>225933.01316095496</v>
      </c>
      <c r="J68" s="812">
        <f>Inputs!L102</f>
        <v>18642</v>
      </c>
      <c r="K68" s="815">
        <f>L68*O68</f>
        <v>244575.01316095496</v>
      </c>
      <c r="L68" s="813">
        <f>Model!H562</f>
        <v>19811.448499999999</v>
      </c>
      <c r="O68" s="807">
        <f>O62</f>
        <v>12.345135347420708</v>
      </c>
    </row>
    <row r="69" ht="15.75">
      <c r="B69" s="810" t="str">
        <f>$M$47&amp;"F EV/EBITDA"</f>
        <v xml:space="preserve">2023F EV/EBITDA</v>
      </c>
      <c r="E69" s="831">
        <f t="shared" ref="E69:E70" si="328">E68</f>
        <v>7</v>
      </c>
      <c r="F69" s="831">
        <f t="shared" si="326"/>
        <v>6.2958237972874498</v>
      </c>
      <c r="G69" s="832">
        <f t="shared" si="321"/>
        <v>-0.10059660038750717</v>
      </c>
      <c r="H69" s="815">
        <f t="shared" ref="H69:H70" si="329">H68</f>
        <v>34200</v>
      </c>
      <c r="I69" s="815">
        <f t="shared" si="327"/>
        <v>215317.17386723077</v>
      </c>
      <c r="J69" s="815">
        <f t="shared" ref="J69:J70" si="330">J68</f>
        <v>18642</v>
      </c>
      <c r="K69" s="815">
        <f>M69*P69</f>
        <v>233959.17386723077</v>
      </c>
      <c r="M69" s="813">
        <f>Model!I562</f>
        <v>20236.044947499999</v>
      </c>
      <c r="P69" s="807">
        <f>P62</f>
        <v>11.561506928562864</v>
      </c>
    </row>
    <row r="70" ht="15.75">
      <c r="B70" s="810" t="str">
        <f>$N$47&amp;"F EV/EBITDA"</f>
        <v xml:space="preserve">2024F EV/EBITDA</v>
      </c>
      <c r="E70" s="831">
        <f t="shared" si="328"/>
        <v>7</v>
      </c>
      <c r="F70" s="831">
        <f t="shared" si="326"/>
        <v>5.880691407256406</v>
      </c>
      <c r="G70" s="832">
        <f t="shared" si="321"/>
        <v>-0.15990122753479918</v>
      </c>
      <c r="H70" s="815">
        <f t="shared" si="329"/>
        <v>34200</v>
      </c>
      <c r="I70" s="815">
        <f t="shared" si="327"/>
        <v>201119.64612816909</v>
      </c>
      <c r="J70" s="815">
        <f t="shared" si="330"/>
        <v>18642</v>
      </c>
      <c r="K70" s="815">
        <f>N70*Q70</f>
        <v>219761.64612816909</v>
      </c>
      <c r="N70" s="813">
        <f>Model!J562</f>
        <v>20289.389540925004</v>
      </c>
      <c r="Q70" s="807">
        <f>Q62</f>
        <v>10.831358217303469</v>
      </c>
    </row>
  </sheetData>
  <mergeCells count="4">
    <mergeCell ref="L8:M8"/>
    <mergeCell ref="J8:K8"/>
    <mergeCell ref="N8:O8"/>
    <mergeCell ref="P8:Q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6" zoomScale="100" workbookViewId="0">
      <selection activeCell="H18" activeCellId="0" sqref="H18"/>
    </sheetView>
  </sheetViews>
  <sheetFormatPr defaultColWidth="8.85546875" defaultRowHeight="15"/>
  <cols>
    <col min="1" max="3" style="307" width="8.85546875"/>
    <col bestFit="1" customWidth="1" min="4" max="4" style="307" width="22.140625"/>
    <col min="5" max="16384" style="307" width="8.85546875"/>
  </cols>
  <sheetData>
    <row r="1" ht="16.5">
      <c r="B1" s="833"/>
      <c r="C1" s="833"/>
      <c r="D1" s="833"/>
      <c r="E1" s="833"/>
      <c r="F1" s="833"/>
      <c r="G1" s="833"/>
      <c r="H1" s="833"/>
      <c r="I1" s="833"/>
      <c r="J1" s="833"/>
      <c r="K1" s="833"/>
      <c r="L1" s="833"/>
      <c r="M1" s="833"/>
      <c r="N1" s="833"/>
      <c r="O1" s="833"/>
    </row>
    <row r="3" ht="21">
      <c r="B3" s="434" t="s">
        <v>439</v>
      </c>
      <c r="C3" s="435"/>
      <c r="D3" s="622"/>
      <c r="E3" s="622"/>
      <c r="F3" s="437"/>
      <c r="G3" s="437"/>
      <c r="H3" s="437"/>
      <c r="I3" s="623"/>
      <c r="J3" s="624"/>
      <c r="K3" s="624"/>
      <c r="L3" s="624"/>
      <c r="M3" s="624"/>
      <c r="N3" s="624"/>
      <c r="O3" s="624"/>
    </row>
    <row r="36">
      <c r="E36" s="834" t="s">
        <v>440</v>
      </c>
      <c r="F36" s="834" t="s">
        <v>441</v>
      </c>
      <c r="G36" s="834" t="s">
        <v>442</v>
      </c>
    </row>
    <row r="37">
      <c r="D37" s="307" t="s">
        <v>443</v>
      </c>
      <c r="E37" s="835">
        <f>MIN('Relative Valuation'!E30:E33)</f>
        <v>1.6205457647515074</v>
      </c>
      <c r="F37" s="715">
        <f t="shared" ref="F37:F41" si="331">G37-E37</f>
        <v>1.2359920229947909</v>
      </c>
      <c r="G37" s="835">
        <f>MAX('Relative Valuation'!E30:E33)</f>
        <v>2.8565377877462983</v>
      </c>
    </row>
    <row r="38">
      <c r="D38" s="307" t="s">
        <v>444</v>
      </c>
      <c r="E38" s="835">
        <f>MIN('Relative Valuation'!F68:F70)</f>
        <v>5.880691407256406</v>
      </c>
      <c r="F38" s="715">
        <f t="shared" si="331"/>
        <v>0.7255370477422769</v>
      </c>
      <c r="G38" s="835">
        <f>MAX('Relative Valuation'!F68:F70)</f>
        <v>6.6062284549986829</v>
      </c>
    </row>
    <row r="39">
      <c r="D39" s="307" t="s">
        <v>445</v>
      </c>
      <c r="E39" s="835">
        <f>Model!D739</f>
        <v>2.8323071530074224</v>
      </c>
      <c r="F39" s="715">
        <f t="shared" si="331"/>
        <v>1.6855227094289718</v>
      </c>
      <c r="G39" s="835">
        <f>Model!H743</f>
        <v>4.5178298624363942</v>
      </c>
    </row>
    <row r="40">
      <c r="D40" s="307" t="s">
        <v>446</v>
      </c>
      <c r="E40" s="835">
        <f>Model!D750</f>
        <v>2.5816456528561238</v>
      </c>
      <c r="F40" s="715">
        <f t="shared" si="331"/>
        <v>1.9964774557175664</v>
      </c>
      <c r="G40" s="835">
        <f>Model!H754</f>
        <v>4.5781231085736902</v>
      </c>
    </row>
    <row r="41">
      <c r="D41" s="307" t="s">
        <v>447</v>
      </c>
      <c r="E41" s="278">
        <f>Inputs!L107</f>
        <v>3.2000000000000002</v>
      </c>
      <c r="F41" s="715">
        <f t="shared" si="331"/>
        <v>1.7999999999999998</v>
      </c>
      <c r="G41" s="278">
        <f>Inputs!L106</f>
        <v>5</v>
      </c>
    </row>
    <row r="42">
      <c r="D42" s="307" t="str">
        <f>"Average Valuation: "&amp;TEXT(E42,"$0.00")</f>
        <v xml:space="preserve">Average Valuation: $3.93</v>
      </c>
      <c r="E42" s="717">
        <f>AVERAGE(E37:E40,G37:G40)</f>
        <v>3.9342386489533157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theme="1"/>
    <outlinePr applyStyles="0" summaryBelow="1" summaryRight="1" showOutlineSymbols="1"/>
    <pageSetUpPr autoPageBreaks="0" fitToPage="0"/>
  </sheetPr>
  <sheetViews>
    <sheetView showGridLines="0" zoomScale="100" workbookViewId="0">
      <pane ySplit="1" topLeftCell="A2" activePane="bottomLeft" state="frozen"/>
      <selection activeCell="F6" activeCellId="0" sqref="F6"/>
    </sheetView>
  </sheetViews>
  <sheetFormatPr defaultColWidth="9.140625" defaultRowHeight="15" customHeight="1" outlineLevelRow="1"/>
  <cols>
    <col min="1" max="1" style="1" width="9.140625"/>
    <col customWidth="1" min="2" max="2" style="1" width="17.7109375"/>
    <col customWidth="1" min="3" max="3" style="1" width="11.28515625"/>
    <col customWidth="1" min="4" max="4" style="1" width="15.7109375"/>
    <col customWidth="1" min="5" max="5" style="1" width="1.7109375"/>
    <col customWidth="1" min="6" max="6" style="1" width="11.7109375"/>
    <col customWidth="1" min="7" max="14" style="1" width="10.28515625"/>
    <col customWidth="1" min="15" max="15" style="1" width="1.7109375"/>
    <col min="16" max="16" style="1" width="9.140625"/>
    <col bestFit="1" customWidth="1" min="17" max="17" style="1" width="9.5703125"/>
    <col bestFit="1" customWidth="1" min="18" max="18" style="1" width="9.28515625"/>
    <col bestFit="1" customWidth="1" min="19" max="19" style="1" width="12.42578125"/>
    <col min="20" max="20" style="1" width="9.140625"/>
    <col bestFit="1" customWidth="1" min="21" max="21" style="1" width="9.5703125"/>
    <col bestFit="1" customWidth="1" min="22" max="22" style="1" width="9.28515625"/>
    <col bestFit="1" customWidth="1" min="23" max="23" style="1" width="11"/>
    <col min="24" max="16384" style="1" width="9.140625"/>
  </cols>
  <sheetData>
    <row r="1" ht="50.100000000000001" customHeight="1">
      <c r="A1" s="4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" customHeight="1">
      <c r="A2" s="172"/>
      <c r="B2" s="384"/>
      <c r="C2" s="385"/>
      <c r="D2" s="386"/>
      <c r="E2" s="386"/>
      <c r="F2" s="387"/>
      <c r="G2" s="387"/>
      <c r="H2" s="387"/>
      <c r="I2" s="387"/>
      <c r="J2" s="387"/>
      <c r="K2" s="387"/>
      <c r="L2" s="387"/>
      <c r="M2" s="387"/>
      <c r="N2" s="387"/>
      <c r="O2" s="59"/>
    </row>
    <row r="3" ht="15" customHeight="1">
      <c r="A3" s="172" t="s">
        <v>0</v>
      </c>
      <c r="B3" s="6" t="s">
        <v>448</v>
      </c>
      <c r="C3" s="7"/>
      <c r="D3" s="8"/>
      <c r="E3" s="8"/>
      <c r="F3" s="9"/>
      <c r="G3" s="9"/>
      <c r="H3" s="9"/>
      <c r="I3" s="9"/>
      <c r="J3" s="9"/>
      <c r="K3" s="9"/>
      <c r="L3" s="9"/>
      <c r="M3" s="9"/>
      <c r="N3" s="401"/>
    </row>
    <row r="4" ht="15" customHeight="1" outlineLevel="1">
      <c r="A4" s="172"/>
      <c r="B4" s="350"/>
      <c r="C4" s="12"/>
      <c r="D4" s="13"/>
      <c r="E4" s="13"/>
      <c r="F4" s="10"/>
      <c r="G4" s="10"/>
      <c r="H4" s="10"/>
      <c r="I4" s="10"/>
      <c r="J4" s="10"/>
      <c r="K4" s="10"/>
      <c r="L4" s="10"/>
      <c r="M4" s="10"/>
      <c r="N4" s="836"/>
    </row>
    <row r="5" ht="15" customHeight="1" outlineLevel="1">
      <c r="A5" s="172"/>
      <c r="B5" s="11" t="s">
        <v>3</v>
      </c>
      <c r="C5" s="12"/>
      <c r="D5" s="14"/>
      <c r="E5" s="14"/>
      <c r="F5" s="837">
        <f>G5-1</f>
        <v>2020</v>
      </c>
      <c r="G5" s="837">
        <f>H5-1</f>
        <v>2021</v>
      </c>
      <c r="H5" s="837">
        <f>I5-1</f>
        <v>2022</v>
      </c>
      <c r="I5" s="177">
        <f>Inputs!F105</f>
        <v>2023</v>
      </c>
      <c r="J5" s="177">
        <f>I5+1</f>
        <v>2024</v>
      </c>
      <c r="K5" s="177">
        <f>J5+1</f>
        <v>2025</v>
      </c>
      <c r="L5" s="177">
        <f>K5+1</f>
        <v>2026</v>
      </c>
      <c r="M5" s="177">
        <f>L5+1</f>
        <v>2027</v>
      </c>
      <c r="N5" s="177" t="s">
        <v>31</v>
      </c>
    </row>
    <row r="6" ht="15" customHeight="1" outlineLevel="1">
      <c r="A6" s="172"/>
      <c r="B6" s="11" t="str" cm="1">
        <f t="array" ref="B6">CONCATENATE("Model Running: ",INDEX(Inputs!$B$12:$B$14,Inputs!$D$7)," Drivers")</f>
        <v xml:space="preserve">Model Running: Base Case Drivers</v>
      </c>
      <c r="C6" s="12"/>
      <c r="D6" s="14"/>
      <c r="E6" s="14"/>
      <c r="F6" s="14"/>
      <c r="G6" s="14"/>
      <c r="H6" s="14"/>
      <c r="I6" s="16"/>
      <c r="J6" s="16"/>
      <c r="K6" s="16"/>
      <c r="L6" s="16"/>
      <c r="M6" s="16"/>
      <c r="N6" s="16"/>
    </row>
    <row r="7" ht="15" customHeight="1" outlineLevel="1">
      <c r="A7" s="172"/>
      <c r="C7" s="12"/>
      <c r="D7" s="14"/>
      <c r="E7" s="14"/>
      <c r="F7" s="14"/>
      <c r="G7" s="14"/>
      <c r="H7" s="14"/>
      <c r="I7" s="16"/>
      <c r="J7" s="16"/>
      <c r="K7" s="16"/>
      <c r="L7" s="16"/>
      <c r="M7" s="16"/>
      <c r="N7" s="16"/>
    </row>
    <row r="8" s="4" customFormat="1" ht="15" customHeight="1" outlineLevel="1">
      <c r="B8" s="390" t="s">
        <v>129</v>
      </c>
      <c r="C8" s="838">
        <f>Inputs!F108</f>
        <v>365</v>
      </c>
      <c r="D8" s="38"/>
      <c r="E8" s="67"/>
      <c r="F8" s="392">
        <v>365</v>
      </c>
      <c r="G8" s="393">
        <v>365</v>
      </c>
      <c r="H8" s="393">
        <v>365</v>
      </c>
      <c r="I8" s="839">
        <f t="shared" ref="I8:N8" si="332">$C$8</f>
        <v>365</v>
      </c>
      <c r="J8" s="839">
        <f t="shared" si="332"/>
        <v>365</v>
      </c>
      <c r="K8" s="839">
        <f t="shared" si="332"/>
        <v>365</v>
      </c>
      <c r="L8" s="839">
        <f t="shared" si="332"/>
        <v>365</v>
      </c>
      <c r="M8" s="839">
        <f t="shared" si="332"/>
        <v>365</v>
      </c>
      <c r="N8" s="840">
        <f t="shared" si="332"/>
        <v>365</v>
      </c>
    </row>
    <row r="9" ht="15" customHeight="1" outlineLevel="1">
      <c r="A9" s="23"/>
      <c r="B9" s="408" t="s">
        <v>154</v>
      </c>
      <c r="C9" s="841" t="e">
        <f>Inputs!#REF!</f>
        <v>#REF!</v>
      </c>
      <c r="D9" s="38"/>
      <c r="E9" s="14"/>
      <c r="F9" s="30"/>
      <c r="G9" s="30"/>
      <c r="H9" s="30"/>
      <c r="I9" s="30"/>
      <c r="J9" s="30"/>
      <c r="K9" s="30"/>
      <c r="L9" s="30"/>
      <c r="M9" s="30"/>
      <c r="N9" s="30"/>
    </row>
    <row r="10" ht="15" customHeight="1" outlineLevel="1">
      <c r="A10" s="23"/>
      <c r="B10" s="11"/>
      <c r="C10" s="12"/>
      <c r="D10" s="14"/>
      <c r="E10" s="14"/>
      <c r="F10" s="14"/>
      <c r="G10" s="14"/>
      <c r="H10" s="14"/>
      <c r="I10" s="23"/>
      <c r="J10" s="23"/>
      <c r="K10" s="23"/>
      <c r="L10" s="23"/>
      <c r="M10" s="23"/>
      <c r="N10" s="541"/>
    </row>
    <row r="11" ht="15" customHeight="1" outlineLevel="1">
      <c r="A11" s="23"/>
      <c r="B11" s="11"/>
      <c r="C11" s="12"/>
      <c r="D11" s="14"/>
      <c r="E11" s="14"/>
      <c r="F11" s="14"/>
      <c r="G11" s="14"/>
      <c r="H11" s="14"/>
      <c r="I11" s="23"/>
      <c r="J11" s="23"/>
      <c r="K11" s="23"/>
      <c r="L11" s="23"/>
      <c r="M11" s="23"/>
      <c r="N11" s="541"/>
    </row>
    <row r="12" s="4" customFormat="1" ht="15" customHeight="1" outlineLevel="1">
      <c r="B12" s="61" t="s">
        <v>449</v>
      </c>
      <c r="C12" s="67"/>
      <c r="D12" s="399"/>
      <c r="E12" s="67"/>
      <c r="F12" s="842"/>
      <c r="G12" s="289"/>
      <c r="H12" s="289"/>
      <c r="I12" s="23"/>
      <c r="J12" s="23"/>
      <c r="K12" s="23"/>
      <c r="L12" s="23"/>
      <c r="M12" s="23"/>
      <c r="N12" s="541"/>
    </row>
    <row r="13" s="4" customFormat="1" ht="15" customHeight="1" outlineLevel="1">
      <c r="B13" s="73"/>
      <c r="C13" s="67"/>
      <c r="D13" s="399"/>
      <c r="E13" s="67"/>
      <c r="F13" s="289"/>
      <c r="G13" s="289"/>
      <c r="H13" s="289"/>
      <c r="I13" s="289"/>
      <c r="J13" s="289"/>
      <c r="K13" s="289"/>
      <c r="L13" s="289"/>
      <c r="M13" s="289"/>
      <c r="N13" s="843"/>
      <c r="Q13" s="25" t="s">
        <v>6</v>
      </c>
      <c r="R13" s="26" t="s">
        <v>7</v>
      </c>
      <c r="S13" s="27" t="s">
        <v>8</v>
      </c>
    </row>
    <row r="14" ht="15" customHeight="1" outlineLevel="1">
      <c r="A14" s="23"/>
      <c r="B14" s="284" t="s">
        <v>146</v>
      </c>
      <c r="C14" s="12"/>
      <c r="D14" s="14"/>
      <c r="E14" s="14"/>
      <c r="F14" s="14"/>
      <c r="G14" s="233">
        <f>G16/F16-1</f>
        <v>0.019650655021834051</v>
      </c>
      <c r="H14" s="233">
        <f>H16/G16-1</f>
        <v>0.020699500356887945</v>
      </c>
      <c r="I14" s="844">
        <f>Inputs!G10</f>
        <v>0.029999999999999999</v>
      </c>
      <c r="J14" s="844">
        <f>Inputs!H10</f>
        <v>0.02</v>
      </c>
      <c r="K14" s="844">
        <f>Inputs!I10</f>
        <v>0.02</v>
      </c>
      <c r="L14" s="844">
        <f>Inputs!J10</f>
        <v>0.014999999999999999</v>
      </c>
      <c r="M14" s="844">
        <f>Inputs!K10</f>
        <v>0.014999999999999999</v>
      </c>
      <c r="N14" s="845">
        <f>Inputs!L10</f>
        <v>0.01</v>
      </c>
      <c r="Q14" s="846" t="e">
        <f>SUM(Model!#REF!)</f>
        <v>#REF!</v>
      </c>
      <c r="R14" s="847">
        <f>SUM(Inputs!G10:L10)</f>
        <v>0.11</v>
      </c>
      <c r="S14" s="33" t="e">
        <f>IF(ISBLANK(Model!#REF!),0,IF(Q14=R14,1,0))</f>
        <v>#REF!</v>
      </c>
      <c r="U14" s="4"/>
    </row>
    <row r="15" ht="15" customHeight="1" outlineLevel="1">
      <c r="A15" s="23"/>
      <c r="B15" s="284"/>
      <c r="C15" s="12"/>
      <c r="D15" s="14"/>
      <c r="E15" s="14"/>
      <c r="F15" s="14"/>
      <c r="G15" s="233"/>
      <c r="H15" s="233"/>
      <c r="I15" s="233"/>
      <c r="J15" s="233"/>
      <c r="K15" s="233"/>
      <c r="L15" s="233"/>
      <c r="M15" s="233"/>
      <c r="N15" s="848"/>
    </row>
    <row r="16" ht="15" customHeight="1" outlineLevel="1">
      <c r="A16" s="23"/>
      <c r="B16" s="284" t="s">
        <v>450</v>
      </c>
      <c r="C16" s="12"/>
      <c r="D16" s="399" t="s">
        <v>155</v>
      </c>
      <c r="E16" s="14"/>
      <c r="F16" s="400">
        <v>1374</v>
      </c>
      <c r="G16" s="400">
        <v>1401</v>
      </c>
      <c r="H16" s="400">
        <v>1430</v>
      </c>
      <c r="I16" s="30">
        <f t="shared" ref="I16:N16" si="333">H16*(1+I14)</f>
        <v>1472.9000000000001</v>
      </c>
      <c r="J16" s="30">
        <f t="shared" si="333"/>
        <v>1502.3580000000002</v>
      </c>
      <c r="K16" s="30">
        <f t="shared" si="333"/>
        <v>1532.4051600000003</v>
      </c>
      <c r="L16" s="30">
        <f t="shared" si="333"/>
        <v>1555.3912374000001</v>
      </c>
      <c r="M16" s="30">
        <f t="shared" si="333"/>
        <v>1578.7221059609999</v>
      </c>
      <c r="N16" s="849">
        <f t="shared" si="333"/>
        <v>1594.5093270206098</v>
      </c>
    </row>
    <row r="17" s="4" customFormat="1" ht="15" customHeight="1" outlineLevel="1">
      <c r="B17" s="284" t="s">
        <v>154</v>
      </c>
      <c r="C17" s="67"/>
      <c r="D17" s="399" t="s">
        <v>155</v>
      </c>
      <c r="E17" s="67"/>
      <c r="F17" s="400">
        <v>1600</v>
      </c>
      <c r="G17" s="400">
        <v>1600</v>
      </c>
      <c r="H17" s="400">
        <v>1600</v>
      </c>
      <c r="I17" s="30" t="e">
        <f t="shared" ref="I17:N17" si="334">$C$9</f>
        <v>#REF!</v>
      </c>
      <c r="J17" s="30" t="e">
        <f t="shared" si="334"/>
        <v>#REF!</v>
      </c>
      <c r="K17" s="30" t="e">
        <f t="shared" si="334"/>
        <v>#REF!</v>
      </c>
      <c r="L17" s="30" t="e">
        <f t="shared" si="334"/>
        <v>#REF!</v>
      </c>
      <c r="M17" s="30" t="e">
        <f t="shared" si="334"/>
        <v>#REF!</v>
      </c>
      <c r="N17" s="850" t="e">
        <f t="shared" si="334"/>
        <v>#REF!</v>
      </c>
    </row>
    <row r="18" s="4" customFormat="1" ht="15" customHeight="1" outlineLevel="1">
      <c r="B18" s="284" t="s">
        <v>451</v>
      </c>
      <c r="C18" s="12"/>
      <c r="D18" s="14"/>
      <c r="E18" s="14"/>
      <c r="F18" s="851">
        <f t="shared" ref="F18:N18" si="335">F16/F17</f>
        <v>0.85875000000000001</v>
      </c>
      <c r="G18" s="851">
        <f t="shared" si="335"/>
        <v>0.87562499999999999</v>
      </c>
      <c r="H18" s="851">
        <f t="shared" si="335"/>
        <v>0.89375000000000004</v>
      </c>
      <c r="I18" s="851" t="e">
        <f t="shared" si="335"/>
        <v>#REF!</v>
      </c>
      <c r="J18" s="851" t="e">
        <f t="shared" si="335"/>
        <v>#REF!</v>
      </c>
      <c r="K18" s="851" t="e">
        <f t="shared" si="335"/>
        <v>#REF!</v>
      </c>
      <c r="L18" s="851" t="e">
        <f t="shared" si="335"/>
        <v>#REF!</v>
      </c>
      <c r="M18" s="851" t="e">
        <f t="shared" si="335"/>
        <v>#REF!</v>
      </c>
      <c r="N18" s="852" t="e">
        <f t="shared" si="335"/>
        <v>#REF!</v>
      </c>
    </row>
    <row r="19" ht="15" customHeight="1" outlineLevel="1">
      <c r="A19" s="23"/>
      <c r="C19" s="12"/>
      <c r="D19" s="399"/>
      <c r="E19" s="14"/>
      <c r="F19" s="30"/>
      <c r="G19" s="30"/>
      <c r="H19" s="30"/>
      <c r="I19" s="30"/>
      <c r="J19" s="30"/>
      <c r="K19" s="30"/>
      <c r="L19" s="30"/>
      <c r="M19" s="30"/>
      <c r="N19" s="30"/>
    </row>
    <row r="20" ht="15" customHeight="1" outlineLevel="1">
      <c r="A20" s="23"/>
      <c r="B20" s="134"/>
      <c r="C20" s="281"/>
      <c r="D20" s="853"/>
      <c r="E20" s="501"/>
      <c r="F20" s="545"/>
      <c r="G20" s="545"/>
      <c r="H20" s="545"/>
      <c r="I20" s="545"/>
      <c r="J20" s="545"/>
      <c r="K20" s="545"/>
      <c r="L20" s="545"/>
      <c r="M20" s="545"/>
      <c r="N20" s="545"/>
    </row>
    <row r="21" ht="15" customHeight="1" outlineLevel="1">
      <c r="A21" s="23"/>
      <c r="B21" s="11"/>
      <c r="C21" s="12"/>
      <c r="D21" s="14"/>
      <c r="E21" s="14"/>
      <c r="F21" s="14"/>
      <c r="G21" s="14"/>
      <c r="H21" s="14"/>
      <c r="I21" s="23"/>
      <c r="J21" s="23"/>
      <c r="K21" s="23"/>
      <c r="L21" s="23"/>
      <c r="M21" s="23"/>
      <c r="N21" s="23"/>
    </row>
    <row r="22" ht="15" customHeight="1" outlineLevel="1">
      <c r="A22" s="23"/>
      <c r="B22" s="11"/>
      <c r="C22" s="12"/>
      <c r="D22" s="14"/>
      <c r="E22" s="14"/>
      <c r="F22" s="14"/>
      <c r="G22" s="14"/>
      <c r="H22" s="14"/>
      <c r="I22" s="23"/>
      <c r="J22" s="23"/>
      <c r="K22" s="23"/>
      <c r="L22" s="23"/>
      <c r="M22" s="23"/>
      <c r="N22" s="23"/>
    </row>
    <row r="23" s="4" customFormat="1" ht="15" customHeight="1" outlineLevel="1">
      <c r="B23" s="61" t="s">
        <v>452</v>
      </c>
      <c r="C23" s="67"/>
      <c r="D23" s="399"/>
      <c r="E23" s="67"/>
      <c r="F23" s="289"/>
      <c r="G23" s="289"/>
      <c r="H23" s="289"/>
      <c r="I23" s="289"/>
      <c r="J23" s="289"/>
      <c r="K23" s="289"/>
      <c r="L23" s="289"/>
      <c r="M23" s="289"/>
      <c r="N23" s="289"/>
    </row>
    <row r="24" s="4" customFormat="1" ht="15" customHeight="1" outlineLevel="1">
      <c r="B24" s="73"/>
      <c r="C24" s="67"/>
      <c r="D24" s="399"/>
      <c r="E24" s="67"/>
      <c r="F24" s="289"/>
      <c r="G24" s="289"/>
      <c r="H24" s="289"/>
      <c r="I24" s="289"/>
      <c r="J24" s="289"/>
      <c r="K24" s="289"/>
      <c r="L24" s="289"/>
      <c r="M24" s="289"/>
      <c r="N24" s="289"/>
    </row>
    <row r="25" ht="15" customHeight="1" outlineLevel="1">
      <c r="A25" s="23"/>
      <c r="B25" s="284" t="s">
        <v>129</v>
      </c>
      <c r="C25" s="12"/>
      <c r="D25" s="14"/>
      <c r="E25" s="14"/>
      <c r="F25" s="30">
        <f t="shared" ref="F25:N25" si="336">F8</f>
        <v>365</v>
      </c>
      <c r="G25" s="30">
        <f t="shared" si="336"/>
        <v>365</v>
      </c>
      <c r="H25" s="30">
        <f t="shared" si="336"/>
        <v>365</v>
      </c>
      <c r="I25" s="30">
        <f t="shared" si="336"/>
        <v>365</v>
      </c>
      <c r="J25" s="30">
        <f t="shared" si="336"/>
        <v>365</v>
      </c>
      <c r="K25" s="30">
        <f t="shared" si="336"/>
        <v>365</v>
      </c>
      <c r="L25" s="30">
        <f t="shared" si="336"/>
        <v>365</v>
      </c>
      <c r="M25" s="30">
        <f t="shared" si="336"/>
        <v>365</v>
      </c>
      <c r="N25" s="854">
        <f t="shared" si="336"/>
        <v>365</v>
      </c>
    </row>
    <row r="26" ht="15" customHeight="1" outlineLevel="1">
      <c r="A26" s="23"/>
      <c r="B26" s="284" t="s">
        <v>450</v>
      </c>
      <c r="C26" s="12"/>
      <c r="D26" s="399" t="s">
        <v>155</v>
      </c>
      <c r="E26" s="14"/>
      <c r="F26" s="545">
        <f t="shared" ref="F26:N26" si="337">F16</f>
        <v>1374</v>
      </c>
      <c r="G26" s="545">
        <f t="shared" si="337"/>
        <v>1401</v>
      </c>
      <c r="H26" s="545">
        <f t="shared" si="337"/>
        <v>1430</v>
      </c>
      <c r="I26" s="30">
        <f t="shared" si="337"/>
        <v>1472.9000000000001</v>
      </c>
      <c r="J26" s="545">
        <f t="shared" si="337"/>
        <v>1502.3580000000002</v>
      </c>
      <c r="K26" s="545">
        <f t="shared" si="337"/>
        <v>1532.4051600000003</v>
      </c>
      <c r="L26" s="545">
        <f t="shared" si="337"/>
        <v>1555.3912374000001</v>
      </c>
      <c r="M26" s="545">
        <f t="shared" si="337"/>
        <v>1578.7221059609999</v>
      </c>
      <c r="N26" s="849">
        <f t="shared" si="337"/>
        <v>1594.5093270206098</v>
      </c>
    </row>
    <row r="27" ht="15" customHeight="1" outlineLevel="1">
      <c r="A27" s="23"/>
      <c r="B27" s="284" t="s">
        <v>450</v>
      </c>
      <c r="C27" s="12"/>
      <c r="D27" s="399" t="s">
        <v>453</v>
      </c>
      <c r="E27" s="14"/>
      <c r="F27" s="30">
        <f t="shared" ref="F27:N27" si="338">F26*F25</f>
        <v>501510</v>
      </c>
      <c r="G27" s="30">
        <f t="shared" si="338"/>
        <v>511365</v>
      </c>
      <c r="H27" s="30">
        <f t="shared" si="338"/>
        <v>521950</v>
      </c>
      <c r="I27" s="855">
        <f t="shared" si="338"/>
        <v>537608.5</v>
      </c>
      <c r="J27" s="30">
        <f t="shared" si="338"/>
        <v>548360.67000000004</v>
      </c>
      <c r="K27" s="30">
        <f t="shared" si="338"/>
        <v>559327.88340000005</v>
      </c>
      <c r="L27" s="30">
        <f t="shared" si="338"/>
        <v>567717.80165100005</v>
      </c>
      <c r="M27" s="30">
        <f t="shared" si="338"/>
        <v>576233.56867576495</v>
      </c>
      <c r="N27" s="854">
        <f t="shared" si="338"/>
        <v>581995.90436252253</v>
      </c>
    </row>
    <row r="28" ht="15" customHeight="1" outlineLevel="1">
      <c r="A28" s="23"/>
      <c r="B28" s="73"/>
      <c r="C28" s="12"/>
      <c r="D28" s="399"/>
      <c r="E28" s="14"/>
      <c r="F28" s="30"/>
      <c r="G28" s="30"/>
      <c r="H28" s="30"/>
      <c r="I28" s="856"/>
      <c r="J28" s="856"/>
      <c r="K28" s="856"/>
      <c r="L28" s="856"/>
      <c r="M28" s="856"/>
      <c r="N28" s="857"/>
    </row>
    <row r="29" ht="15" customHeight="1" outlineLevel="1">
      <c r="A29" s="23"/>
      <c r="B29" s="73"/>
      <c r="C29" s="12"/>
      <c r="D29" s="399"/>
      <c r="E29" s="14"/>
      <c r="F29" s="30"/>
      <c r="G29" s="30"/>
      <c r="H29" s="30"/>
      <c r="I29" s="856"/>
      <c r="J29" s="856"/>
      <c r="K29" s="856"/>
      <c r="L29" s="856"/>
      <c r="M29" s="856"/>
      <c r="N29" s="857"/>
    </row>
    <row r="30" s="4" customFormat="1" ht="15" customHeight="1" outlineLevel="1">
      <c r="B30" s="61" t="s">
        <v>454</v>
      </c>
      <c r="C30" s="67"/>
      <c r="D30" s="399"/>
      <c r="E30" s="399"/>
      <c r="F30" s="399"/>
      <c r="G30" s="399"/>
      <c r="H30" s="399"/>
      <c r="I30" s="399"/>
      <c r="J30" s="399"/>
      <c r="K30" s="399"/>
      <c r="L30" s="399"/>
      <c r="M30" s="30"/>
      <c r="N30" s="849"/>
    </row>
    <row r="31" s="4" customFormat="1" ht="15" customHeight="1" outlineLevel="1">
      <c r="B31" s="73"/>
      <c r="C31" s="67"/>
      <c r="D31" s="399"/>
      <c r="E31" s="67"/>
      <c r="F31" s="289"/>
      <c r="G31" s="289"/>
      <c r="H31" s="289"/>
      <c r="I31" s="289"/>
      <c r="J31" s="289"/>
      <c r="K31" s="289"/>
      <c r="L31" s="289"/>
      <c r="M31" s="289"/>
      <c r="N31" s="858"/>
      <c r="Q31" s="25" t="s">
        <v>6</v>
      </c>
      <c r="R31" s="26" t="s">
        <v>7</v>
      </c>
      <c r="S31" s="27" t="s">
        <v>8</v>
      </c>
    </row>
    <row r="32" ht="15" customHeight="1" outlineLevel="1">
      <c r="A32" s="23"/>
      <c r="B32" s="284" t="s">
        <v>147</v>
      </c>
      <c r="C32" s="12"/>
      <c r="D32" s="14"/>
      <c r="E32" s="14"/>
      <c r="F32" s="501"/>
      <c r="G32" s="859">
        <f>G33/F33-1</f>
        <v>0.01701341629399189</v>
      </c>
      <c r="H32" s="859">
        <f>H33/G33-1</f>
        <v>0.021030494216614182</v>
      </c>
      <c r="I32" s="860">
        <f>Inputs!G17</f>
        <v>0.035000000000000003</v>
      </c>
      <c r="J32" s="860">
        <f>Inputs!H17</f>
        <v>0.029999999999999999</v>
      </c>
      <c r="K32" s="860">
        <f>Inputs!I17</f>
        <v>0.029999999999999999</v>
      </c>
      <c r="L32" s="860">
        <f>Inputs!J17</f>
        <v>0.025000000000000001</v>
      </c>
      <c r="M32" s="860">
        <f>Inputs!K17</f>
        <v>0.025000000000000001</v>
      </c>
      <c r="N32" s="861">
        <f>Inputs!L17</f>
        <v>0.014999999999999999</v>
      </c>
      <c r="Q32" s="846" t="e">
        <f>SUM(Model!#REF!)</f>
        <v>#REF!</v>
      </c>
      <c r="R32" s="847">
        <f>SUM(Inputs!G17:L17)</f>
        <v>0.15999999999999998</v>
      </c>
      <c r="S32" s="33" t="e">
        <f>IF(ISBLANK(Model!#REF!),0,IF(Q32=R32,1,0))</f>
        <v>#REF!</v>
      </c>
      <c r="U32" s="4"/>
    </row>
    <row r="33" ht="15" customHeight="1" outlineLevel="1">
      <c r="A33" s="23"/>
      <c r="B33" s="284" t="s">
        <v>455</v>
      </c>
      <c r="C33" s="12"/>
      <c r="D33" s="399" t="s">
        <v>456</v>
      </c>
      <c r="E33" s="14"/>
      <c r="F33" s="278">
        <v>102.86</v>
      </c>
      <c r="G33" s="278">
        <v>104.61</v>
      </c>
      <c r="H33" s="278">
        <v>106.81</v>
      </c>
      <c r="I33" s="279">
        <f t="shared" ref="I33:N33" si="339">H33*(1+I32)</f>
        <v>110.54835</v>
      </c>
      <c r="J33" s="279">
        <f t="shared" si="339"/>
        <v>113.8648005</v>
      </c>
      <c r="K33" s="279">
        <f t="shared" si="339"/>
        <v>117.28074451500001</v>
      </c>
      <c r="L33" s="279">
        <f t="shared" si="339"/>
        <v>120.21276312787499</v>
      </c>
      <c r="M33" s="279">
        <f t="shared" si="339"/>
        <v>123.21808220607186</v>
      </c>
      <c r="N33" s="862">
        <f t="shared" si="339"/>
        <v>125.06635343916292</v>
      </c>
    </row>
    <row r="34" ht="15" customHeight="1" outlineLevel="1">
      <c r="A34" s="23"/>
      <c r="C34" s="12"/>
      <c r="D34" s="399"/>
      <c r="E34" s="14"/>
      <c r="F34" s="278"/>
      <c r="G34" s="278"/>
      <c r="H34" s="278"/>
      <c r="I34" s="279"/>
      <c r="J34" s="279"/>
      <c r="K34" s="279"/>
      <c r="L34" s="279"/>
      <c r="M34" s="279"/>
      <c r="N34" s="863"/>
    </row>
    <row r="35" ht="15" customHeight="1" outlineLevel="1">
      <c r="A35" s="23"/>
      <c r="C35" s="12"/>
      <c r="D35" s="399"/>
      <c r="E35" s="14"/>
      <c r="F35" s="278"/>
      <c r="G35" s="278"/>
      <c r="H35" s="278"/>
      <c r="I35" s="279"/>
      <c r="J35" s="279"/>
      <c r="K35" s="279"/>
      <c r="L35" s="279"/>
      <c r="M35" s="279"/>
      <c r="N35" s="863"/>
    </row>
    <row r="36" s="4" customFormat="1" ht="15" customHeight="1" outlineLevel="1">
      <c r="B36" s="61" t="s">
        <v>457</v>
      </c>
      <c r="C36" s="67"/>
      <c r="D36" s="399"/>
      <c r="E36" s="67"/>
      <c r="F36" s="289"/>
      <c r="G36" s="289"/>
      <c r="H36" s="289"/>
      <c r="I36" s="289"/>
      <c r="J36" s="289"/>
      <c r="K36" s="289"/>
      <c r="L36" s="289"/>
      <c r="M36" s="289"/>
      <c r="N36" s="858"/>
    </row>
    <row r="37" s="4" customFormat="1" ht="15" customHeight="1" outlineLevel="1">
      <c r="B37" s="73"/>
      <c r="C37" s="67"/>
      <c r="D37" s="399"/>
      <c r="E37" s="67"/>
      <c r="F37" s="289"/>
      <c r="G37" s="289"/>
      <c r="H37" s="289"/>
      <c r="I37" s="289"/>
      <c r="J37" s="289"/>
      <c r="K37" s="289"/>
      <c r="L37" s="289"/>
      <c r="M37" s="289"/>
      <c r="N37" s="858"/>
    </row>
    <row r="38" ht="15" customHeight="1" outlineLevel="1">
      <c r="A38" s="23"/>
      <c r="B38" s="284" t="s">
        <v>450</v>
      </c>
      <c r="C38" s="12"/>
      <c r="D38" s="399" t="s">
        <v>453</v>
      </c>
      <c r="E38" s="14"/>
      <c r="F38" s="30">
        <f t="shared" ref="F38:N38" si="340">F27</f>
        <v>501510</v>
      </c>
      <c r="G38" s="30">
        <f t="shared" si="340"/>
        <v>511365</v>
      </c>
      <c r="H38" s="30">
        <f t="shared" si="340"/>
        <v>521950</v>
      </c>
      <c r="I38" s="30">
        <f t="shared" si="340"/>
        <v>537608.5</v>
      </c>
      <c r="J38" s="30">
        <f t="shared" si="340"/>
        <v>548360.67000000004</v>
      </c>
      <c r="K38" s="30">
        <f t="shared" si="340"/>
        <v>559327.88340000005</v>
      </c>
      <c r="L38" s="30">
        <f t="shared" si="340"/>
        <v>567717.80165100005</v>
      </c>
      <c r="M38" s="30">
        <f t="shared" si="340"/>
        <v>576233.56867576495</v>
      </c>
      <c r="N38" s="849">
        <f t="shared" si="340"/>
        <v>581995.90436252253</v>
      </c>
    </row>
    <row r="39" ht="15" customHeight="1" outlineLevel="1">
      <c r="A39" s="23"/>
      <c r="B39" s="284" t="s">
        <v>458</v>
      </c>
      <c r="C39" s="12"/>
      <c r="D39" s="399" t="s">
        <v>456</v>
      </c>
      <c r="E39" s="14"/>
      <c r="F39" s="279">
        <f t="shared" ref="F39:N39" si="341">F33</f>
        <v>102.86</v>
      </c>
      <c r="G39" s="279">
        <f t="shared" si="341"/>
        <v>104.61</v>
      </c>
      <c r="H39" s="279">
        <f t="shared" si="341"/>
        <v>106.81</v>
      </c>
      <c r="I39" s="279">
        <f t="shared" si="341"/>
        <v>110.54835</v>
      </c>
      <c r="J39" s="279">
        <f t="shared" si="341"/>
        <v>113.8648005</v>
      </c>
      <c r="K39" s="279">
        <f t="shared" si="341"/>
        <v>117.28074451500001</v>
      </c>
      <c r="L39" s="279">
        <f t="shared" si="341"/>
        <v>120.21276312787499</v>
      </c>
      <c r="M39" s="279">
        <f t="shared" si="341"/>
        <v>123.21808220607186</v>
      </c>
      <c r="N39" s="863">
        <f t="shared" si="341"/>
        <v>125.06635343916292</v>
      </c>
    </row>
    <row r="40" ht="15" customHeight="1" outlineLevel="1">
      <c r="A40" s="23"/>
      <c r="B40" s="284" t="s">
        <v>159</v>
      </c>
      <c r="C40" s="12"/>
      <c r="D40" s="399"/>
      <c r="E40" s="14"/>
      <c r="F40" s="864">
        <f t="shared" ref="F40:N40" si="342">F38*F39/1000</f>
        <v>51585.318599999999</v>
      </c>
      <c r="G40" s="864">
        <f t="shared" si="342"/>
        <v>53493.892650000002</v>
      </c>
      <c r="H40" s="864">
        <f t="shared" si="342"/>
        <v>55749.479500000001</v>
      </c>
      <c r="I40" s="864">
        <f t="shared" si="342"/>
        <v>59431.732620975003</v>
      </c>
      <c r="J40" s="864">
        <f t="shared" si="342"/>
        <v>62438.978291596337</v>
      </c>
      <c r="K40" s="864">
        <f t="shared" si="342"/>
        <v>65598.390593151125</v>
      </c>
      <c r="L40" s="864">
        <f t="shared" si="342"/>
        <v>68246.92561334958</v>
      </c>
      <c r="M40" s="864">
        <f t="shared" si="342"/>
        <v>71002.395234988551</v>
      </c>
      <c r="N40" s="865">
        <f t="shared" si="342"/>
        <v>72788.105475148506</v>
      </c>
    </row>
    <row r="41" ht="15" customHeight="1" outlineLevel="1">
      <c r="A41" s="23"/>
      <c r="C41" s="12"/>
      <c r="D41" s="399"/>
      <c r="E41" s="14"/>
      <c r="F41" s="30"/>
      <c r="G41" s="30"/>
      <c r="H41" s="30"/>
      <c r="I41" s="30"/>
      <c r="J41" s="30"/>
      <c r="K41" s="30"/>
      <c r="L41" s="30"/>
      <c r="M41" s="30"/>
      <c r="N41" s="30"/>
    </row>
    <row r="42" ht="15" customHeight="1" outlineLevel="1">
      <c r="A42" s="23"/>
      <c r="C42" s="12"/>
      <c r="D42" s="399"/>
      <c r="E42" s="14"/>
      <c r="F42" s="30"/>
      <c r="G42" s="30"/>
      <c r="H42" s="30"/>
      <c r="I42" s="30"/>
      <c r="J42" s="30"/>
      <c r="K42" s="30"/>
      <c r="L42" s="30"/>
      <c r="M42" s="30"/>
      <c r="N42" s="30"/>
    </row>
    <row r="43" ht="15" customHeight="1" outlineLevel="1">
      <c r="A43" s="23"/>
      <c r="B43" s="73" t="s">
        <v>459</v>
      </c>
      <c r="C43" s="12"/>
      <c r="D43" s="866"/>
      <c r="E43" s="14"/>
      <c r="F43" s="867">
        <f t="shared" ref="F43:N43" si="343">IF(F18&gt;=1,1,0)</f>
        <v>0</v>
      </c>
      <c r="G43" s="868">
        <f t="shared" si="343"/>
        <v>0</v>
      </c>
      <c r="H43" s="868">
        <f t="shared" si="343"/>
        <v>0</v>
      </c>
      <c r="I43" s="868" t="e">
        <f t="shared" si="343"/>
        <v>#REF!</v>
      </c>
      <c r="J43" s="868" t="e">
        <f t="shared" si="343"/>
        <v>#REF!</v>
      </c>
      <c r="K43" s="868" t="e">
        <f t="shared" si="343"/>
        <v>#REF!</v>
      </c>
      <c r="L43" s="868" t="e">
        <f t="shared" si="343"/>
        <v>#REF!</v>
      </c>
      <c r="M43" s="868" t="e">
        <f t="shared" si="343"/>
        <v>#REF!</v>
      </c>
      <c r="N43" s="869" t="e">
        <f t="shared" si="343"/>
        <v>#REF!</v>
      </c>
      <c r="S43" s="870" t="e">
        <f>IF(SUM(S13:S40)=2,"COMPLETE","")</f>
        <v>#REF!</v>
      </c>
    </row>
    <row r="44" ht="15" customHeight="1" outlineLevel="1">
      <c r="A44" s="23"/>
      <c r="B44" s="11"/>
      <c r="C44" s="12"/>
      <c r="D44" s="14"/>
      <c r="E44" s="14"/>
      <c r="F44" s="14"/>
      <c r="G44" s="14"/>
      <c r="H44" s="14"/>
      <c r="I44" s="23"/>
      <c r="J44" s="23"/>
      <c r="K44" s="23"/>
      <c r="L44" s="23"/>
      <c r="M44" s="23"/>
      <c r="N44" s="541"/>
    </row>
    <row r="45" ht="15" customHeight="1" outlineLevel="1"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</row>
    <row r="46" s="4" customFormat="1" ht="15" customHeight="1"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438"/>
    </row>
    <row r="47" ht="15" customHeight="1">
      <c r="A47" s="4" t="s">
        <v>0</v>
      </c>
      <c r="B47" s="6" t="s">
        <v>460</v>
      </c>
      <c r="C47" s="7"/>
      <c r="D47" s="8"/>
      <c r="E47" s="8"/>
      <c r="F47" s="9"/>
      <c r="G47" s="9"/>
      <c r="H47" s="9"/>
      <c r="I47" s="9"/>
      <c r="J47" s="9"/>
      <c r="K47" s="9"/>
      <c r="L47" s="9"/>
      <c r="M47" s="9"/>
      <c r="N47" s="401"/>
      <c r="O47" s="59"/>
    </row>
    <row r="48" ht="15" customHeight="1" outlineLevel="1">
      <c r="A48" s="4"/>
      <c r="B48" s="176"/>
      <c r="C48" s="12"/>
      <c r="D48" s="13"/>
      <c r="E48" s="13"/>
      <c r="F48" s="10"/>
      <c r="G48" s="10"/>
      <c r="H48" s="10"/>
      <c r="I48" s="10"/>
      <c r="J48" s="10"/>
      <c r="K48" s="10"/>
      <c r="L48" s="10"/>
      <c r="M48" s="10"/>
      <c r="N48" s="10"/>
    </row>
    <row r="49" ht="15" customHeight="1" outlineLevel="1">
      <c r="A49" s="4"/>
      <c r="B49" s="11" t="s">
        <v>3</v>
      </c>
      <c r="C49" s="12"/>
      <c r="D49" s="14"/>
      <c r="E49" s="14"/>
      <c r="F49" s="837">
        <f t="shared" ref="F49:N49" si="344">F$5</f>
        <v>2020</v>
      </c>
      <c r="G49" s="837">
        <f t="shared" si="344"/>
        <v>2021</v>
      </c>
      <c r="H49" s="837">
        <f t="shared" si="344"/>
        <v>2022</v>
      </c>
      <c r="I49" s="177">
        <f t="shared" si="344"/>
        <v>2023</v>
      </c>
      <c r="J49" s="177">
        <f t="shared" si="344"/>
        <v>2024</v>
      </c>
      <c r="K49" s="177">
        <f t="shared" si="344"/>
        <v>2025</v>
      </c>
      <c r="L49" s="177">
        <f t="shared" si="344"/>
        <v>2026</v>
      </c>
      <c r="M49" s="177">
        <f t="shared" si="344"/>
        <v>2027</v>
      </c>
      <c r="N49" s="177" t="str">
        <f t="shared" si="344"/>
        <v>Term</v>
      </c>
    </row>
    <row r="50" ht="15" customHeight="1" outlineLevel="1">
      <c r="A50" s="4"/>
      <c r="B50" s="11" t="str">
        <f>$B$6</f>
        <v xml:space="preserve">Model Running: Base Case Drivers</v>
      </c>
      <c r="C50" s="12"/>
      <c r="D50" s="14"/>
      <c r="E50" s="14"/>
      <c r="F50" s="14"/>
      <c r="G50" s="14"/>
      <c r="H50" s="14"/>
      <c r="I50" s="16"/>
      <c r="J50" s="16"/>
      <c r="K50" s="16"/>
      <c r="L50" s="16"/>
      <c r="M50" s="16"/>
      <c r="N50" s="16"/>
    </row>
    <row r="51" ht="15" customHeight="1" outlineLevel="1">
      <c r="A51" s="4"/>
      <c r="B51" s="11"/>
      <c r="C51" s="12"/>
      <c r="D51" s="14"/>
      <c r="E51" s="14"/>
      <c r="F51" s="14"/>
      <c r="G51" s="14"/>
      <c r="H51" s="14"/>
      <c r="I51" s="23"/>
      <c r="J51" s="23"/>
      <c r="K51" s="23"/>
      <c r="L51" s="23"/>
      <c r="M51" s="23"/>
    </row>
    <row r="52" ht="15" customHeight="1" outlineLevel="1">
      <c r="A52" s="4"/>
      <c r="B52" s="73" t="s">
        <v>450</v>
      </c>
      <c r="C52" s="12"/>
      <c r="D52" s="399"/>
      <c r="E52" s="14"/>
      <c r="F52" s="871">
        <f t="shared" ref="F52:N52" si="345">F38</f>
        <v>501510</v>
      </c>
      <c r="G52" s="855">
        <f t="shared" si="345"/>
        <v>511365</v>
      </c>
      <c r="H52" s="855">
        <f t="shared" si="345"/>
        <v>521950</v>
      </c>
      <c r="I52" s="855">
        <f t="shared" si="345"/>
        <v>537608.5</v>
      </c>
      <c r="J52" s="855">
        <f t="shared" si="345"/>
        <v>548360.67000000004</v>
      </c>
      <c r="K52" s="855">
        <f t="shared" si="345"/>
        <v>559327.88340000005</v>
      </c>
      <c r="L52" s="855">
        <f t="shared" si="345"/>
        <v>567717.80165100005</v>
      </c>
      <c r="M52" s="855">
        <f t="shared" si="345"/>
        <v>576233.56867576495</v>
      </c>
      <c r="N52" s="854">
        <f t="shared" si="345"/>
        <v>581995.90436252253</v>
      </c>
      <c r="Q52" s="25" t="s">
        <v>6</v>
      </c>
      <c r="R52" s="26" t="s">
        <v>7</v>
      </c>
      <c r="S52" s="27" t="s">
        <v>8</v>
      </c>
    </row>
    <row r="53" ht="15" customHeight="1" outlineLevel="1">
      <c r="A53" s="4"/>
      <c r="B53" s="73" t="s">
        <v>461</v>
      </c>
      <c r="C53" s="12"/>
      <c r="D53" s="14"/>
      <c r="E53" s="14"/>
      <c r="F53" s="396">
        <v>0.024</v>
      </c>
      <c r="G53" s="397">
        <v>0.021999999999999999</v>
      </c>
      <c r="H53" s="397">
        <v>0.023</v>
      </c>
      <c r="I53" s="860">
        <f>Inputs!G31</f>
        <v>0.035000000000000003</v>
      </c>
      <c r="J53" s="860">
        <f>Inputs!H31</f>
        <v>0.029999999999999999</v>
      </c>
      <c r="K53" s="860">
        <f>Inputs!I31</f>
        <v>0.029999999999999999</v>
      </c>
      <c r="L53" s="860">
        <f>Inputs!J31</f>
        <v>0.025000000000000001</v>
      </c>
      <c r="M53" s="860">
        <f>Inputs!K31</f>
        <v>0.025000000000000001</v>
      </c>
      <c r="N53" s="861">
        <f>Inputs!L31</f>
        <v>0.014999999999999999</v>
      </c>
      <c r="Q53" s="846">
        <f>SUM(Model!I7:N7)</f>
        <v>0.15999999999999998</v>
      </c>
      <c r="R53" s="847">
        <f>SUM(I53:N53)</f>
        <v>0.15999999999999998</v>
      </c>
      <c r="S53" s="33">
        <f>IF(ISBLANK(Model!I7),0,IF(Q53=R53,1,0))</f>
        <v>1</v>
      </c>
    </row>
    <row r="54" ht="15" customHeight="1" outlineLevel="1">
      <c r="A54" s="4"/>
      <c r="B54" s="73"/>
      <c r="C54" s="12"/>
      <c r="D54" s="14"/>
      <c r="E54" s="14"/>
      <c r="F54" s="405"/>
      <c r="G54" s="405"/>
      <c r="H54" s="405"/>
      <c r="I54" s="233"/>
      <c r="J54" s="233"/>
      <c r="K54" s="233"/>
      <c r="L54" s="233"/>
      <c r="M54" s="233"/>
      <c r="N54" s="233"/>
    </row>
    <row r="55" s="4" customFormat="1" ht="15" customHeight="1" outlineLevel="1">
      <c r="B55" s="61" t="s">
        <v>462</v>
      </c>
      <c r="C55" s="67"/>
      <c r="D55" s="399"/>
      <c r="E55" s="67"/>
      <c r="F55" s="872"/>
      <c r="G55" s="872"/>
      <c r="H55" s="872"/>
      <c r="I55" s="289"/>
      <c r="J55" s="289"/>
      <c r="K55" s="289"/>
      <c r="L55" s="289"/>
      <c r="M55" s="289"/>
      <c r="N55" s="289"/>
      <c r="O55" s="59"/>
    </row>
    <row r="56" s="4" customFormat="1" ht="15" customHeight="1" outlineLevel="1">
      <c r="B56" s="73"/>
      <c r="C56" s="67"/>
      <c r="D56" s="399"/>
      <c r="E56" s="67"/>
      <c r="F56" s="289"/>
      <c r="G56" s="289"/>
      <c r="H56" s="289"/>
      <c r="I56" s="289"/>
      <c r="J56" s="289"/>
      <c r="K56" s="289"/>
      <c r="L56" s="289"/>
      <c r="M56" s="289"/>
      <c r="N56" s="430"/>
      <c r="O56" s="59"/>
    </row>
    <row r="57" s="4" customFormat="1" ht="15" customHeight="1" outlineLevel="1">
      <c r="B57" s="284" t="s">
        <v>463</v>
      </c>
      <c r="C57" s="12"/>
      <c r="D57" s="399" t="s">
        <v>456</v>
      </c>
      <c r="E57" s="14"/>
      <c r="F57" s="278">
        <v>9.5099999999999998</v>
      </c>
      <c r="G57" s="278">
        <v>9.7200000000000006</v>
      </c>
      <c r="H57" s="278">
        <v>9.9100000000000001</v>
      </c>
      <c r="I57" s="279">
        <f t="shared" ref="I57:N59" si="346">H57*(1+I$53)</f>
        <v>10.25685</v>
      </c>
      <c r="J57" s="279">
        <f t="shared" si="346"/>
        <v>10.564555500000001</v>
      </c>
      <c r="K57" s="279">
        <f t="shared" si="346"/>
        <v>10.881492165000001</v>
      </c>
      <c r="L57" s="279">
        <f t="shared" si="346"/>
        <v>11.153529469125001</v>
      </c>
      <c r="M57" s="279">
        <f t="shared" si="346"/>
        <v>11.432367705853125</v>
      </c>
      <c r="N57" s="862">
        <f t="shared" si="346"/>
        <v>11.60385322144092</v>
      </c>
    </row>
    <row r="58" s="4" customFormat="1" ht="15" customHeight="1" outlineLevel="1">
      <c r="B58" s="284" t="s">
        <v>464</v>
      </c>
      <c r="C58" s="12"/>
      <c r="D58" s="399" t="s">
        <v>456</v>
      </c>
      <c r="E58" s="14"/>
      <c r="F58" s="278">
        <v>0.81999999999999995</v>
      </c>
      <c r="G58" s="278">
        <v>0.83999999999999997</v>
      </c>
      <c r="H58" s="278">
        <v>0.85999999999999999</v>
      </c>
      <c r="I58" s="279">
        <f t="shared" si="346"/>
        <v>0.89009999999999989</v>
      </c>
      <c r="J58" s="279">
        <f t="shared" si="346"/>
        <v>0.91680299999999992</v>
      </c>
      <c r="K58" s="279">
        <f t="shared" si="346"/>
        <v>0.9443070899999999</v>
      </c>
      <c r="L58" s="279">
        <f t="shared" si="346"/>
        <v>0.96791476724999981</v>
      </c>
      <c r="M58" s="279">
        <f t="shared" si="346"/>
        <v>0.99211263643124969</v>
      </c>
      <c r="N58" s="863">
        <f t="shared" si="346"/>
        <v>1.0069943259777183</v>
      </c>
    </row>
    <row r="59" s="4" customFormat="1" ht="15" customHeight="1" outlineLevel="1">
      <c r="B59" s="284" t="s">
        <v>465</v>
      </c>
      <c r="C59" s="12"/>
      <c r="D59" s="399" t="s">
        <v>456</v>
      </c>
      <c r="E59" s="14"/>
      <c r="F59" s="873">
        <v>1.54</v>
      </c>
      <c r="G59" s="873">
        <v>1.5800000000000001</v>
      </c>
      <c r="H59" s="873">
        <v>1.6200000000000001</v>
      </c>
      <c r="I59" s="874">
        <f t="shared" si="346"/>
        <v>1.6767000000000001</v>
      </c>
      <c r="J59" s="874">
        <f t="shared" si="346"/>
        <v>1.7270010000000002</v>
      </c>
      <c r="K59" s="874">
        <f t="shared" si="346"/>
        <v>1.7788110300000002</v>
      </c>
      <c r="L59" s="874">
        <f t="shared" si="346"/>
        <v>1.8232813057500001</v>
      </c>
      <c r="M59" s="874">
        <f t="shared" si="346"/>
        <v>1.8688633383937501</v>
      </c>
      <c r="N59" s="875">
        <f t="shared" si="346"/>
        <v>1.8968962884696561</v>
      </c>
    </row>
    <row r="60" s="4" customFormat="1" ht="15" customHeight="1" outlineLevel="1">
      <c r="B60" s="284" t="s">
        <v>182</v>
      </c>
      <c r="C60" s="67"/>
      <c r="D60" s="399"/>
      <c r="E60" s="67"/>
      <c r="F60" s="279">
        <f t="shared" ref="F60:N60" si="347">SUM(F57:F59)</f>
        <v>11.870000000000001</v>
      </c>
      <c r="G60" s="279">
        <f t="shared" si="347"/>
        <v>12.140000000000001</v>
      </c>
      <c r="H60" s="279">
        <f t="shared" si="347"/>
        <v>12.390000000000001</v>
      </c>
      <c r="I60" s="279">
        <f t="shared" si="347"/>
        <v>12.823650000000001</v>
      </c>
      <c r="J60" s="279">
        <f t="shared" si="347"/>
        <v>13.2083595</v>
      </c>
      <c r="K60" s="279">
        <f t="shared" si="347"/>
        <v>13.604610285000001</v>
      </c>
      <c r="L60" s="279">
        <f t="shared" si="347"/>
        <v>13.944725542124999</v>
      </c>
      <c r="M60" s="279">
        <f t="shared" si="347"/>
        <v>14.293343680678124</v>
      </c>
      <c r="N60" s="863">
        <f t="shared" si="347"/>
        <v>14.507743835888295</v>
      </c>
    </row>
    <row r="61" s="4" customFormat="1" ht="15" customHeight="1" outlineLevel="1">
      <c r="B61" s="67"/>
      <c r="C61" s="67"/>
      <c r="D61" s="399"/>
      <c r="E61" s="67"/>
      <c r="F61" s="279"/>
      <c r="G61" s="279"/>
      <c r="H61" s="279"/>
      <c r="I61" s="279"/>
      <c r="J61" s="279"/>
      <c r="K61" s="279"/>
      <c r="L61" s="279"/>
      <c r="M61" s="279"/>
      <c r="N61" s="876"/>
    </row>
    <row r="62" s="4" customFormat="1" ht="15" customHeight="1" outlineLevel="1">
      <c r="B62" s="284" t="s">
        <v>463</v>
      </c>
      <c r="C62" s="12"/>
      <c r="D62" s="399"/>
      <c r="E62" s="14"/>
      <c r="F62" s="30">
        <f t="shared" ref="F62:N64" si="348">F57*F$52/1000</f>
        <v>4769.3600999999999</v>
      </c>
      <c r="G62" s="30">
        <f t="shared" si="348"/>
        <v>4970.4678000000004</v>
      </c>
      <c r="H62" s="30">
        <f t="shared" si="348"/>
        <v>5172.5245000000004</v>
      </c>
      <c r="I62" s="30">
        <f t="shared" si="348"/>
        <v>5514.1697432250003</v>
      </c>
      <c r="J62" s="30">
        <f t="shared" si="348"/>
        <v>5793.1867322321859</v>
      </c>
      <c r="K62" s="30">
        <f t="shared" si="348"/>
        <v>6086.3219808831345</v>
      </c>
      <c r="L62" s="30">
        <f t="shared" si="348"/>
        <v>6332.0572308612909</v>
      </c>
      <c r="M62" s="30">
        <f t="shared" si="348"/>
        <v>6587.714041557314</v>
      </c>
      <c r="N62" s="849">
        <f t="shared" si="348"/>
        <v>6753.3950497024789</v>
      </c>
    </row>
    <row r="63" s="4" customFormat="1" ht="15" customHeight="1" outlineLevel="1">
      <c r="B63" s="284" t="s">
        <v>464</v>
      </c>
      <c r="C63" s="12"/>
      <c r="D63" s="399"/>
      <c r="E63" s="14"/>
      <c r="F63" s="30">
        <f t="shared" si="348"/>
        <v>411.23819999999995</v>
      </c>
      <c r="G63" s="30">
        <f t="shared" si="348"/>
        <v>429.54659999999996</v>
      </c>
      <c r="H63" s="30">
        <f t="shared" si="348"/>
        <v>448.87700000000001</v>
      </c>
      <c r="I63" s="30">
        <f t="shared" si="348"/>
        <v>478.52532584999994</v>
      </c>
      <c r="J63" s="30">
        <f t="shared" si="348"/>
        <v>502.73870733801004</v>
      </c>
      <c r="K63" s="30">
        <f t="shared" si="348"/>
        <v>528.17728592931326</v>
      </c>
      <c r="L63" s="30">
        <f t="shared" si="348"/>
        <v>549.50244384870928</v>
      </c>
      <c r="M63" s="30">
        <f t="shared" si="348"/>
        <v>571.68860501910069</v>
      </c>
      <c r="N63" s="849">
        <f t="shared" si="348"/>
        <v>586.06657343533095</v>
      </c>
    </row>
    <row r="64" s="4" customFormat="1" ht="15" customHeight="1" outlineLevel="1">
      <c r="B64" s="284" t="s">
        <v>465</v>
      </c>
      <c r="C64" s="12"/>
      <c r="D64" s="399"/>
      <c r="E64" s="14"/>
      <c r="F64" s="545">
        <f t="shared" si="348"/>
        <v>772.32540000000006</v>
      </c>
      <c r="G64" s="545">
        <f t="shared" si="348"/>
        <v>807.95670000000007</v>
      </c>
      <c r="H64" s="545">
        <f t="shared" si="348"/>
        <v>845.55899999999997</v>
      </c>
      <c r="I64" s="545">
        <f t="shared" si="348"/>
        <v>901.40817195</v>
      </c>
      <c r="J64" s="545">
        <f t="shared" si="348"/>
        <v>947.01942545067016</v>
      </c>
      <c r="K64" s="545">
        <f t="shared" si="348"/>
        <v>994.9386083784741</v>
      </c>
      <c r="L64" s="545">
        <f t="shared" si="348"/>
        <v>1035.109254691755</v>
      </c>
      <c r="M64" s="545">
        <f t="shared" si="348"/>
        <v>1076.9017908499343</v>
      </c>
      <c r="N64" s="849">
        <f t="shared" si="348"/>
        <v>1103.9858708898098</v>
      </c>
    </row>
    <row r="65" s="4" customFormat="1" ht="15" customHeight="1" outlineLevel="1">
      <c r="B65" s="284" t="s">
        <v>182</v>
      </c>
      <c r="C65" s="67"/>
      <c r="D65" s="399"/>
      <c r="E65" s="67"/>
      <c r="F65" s="30">
        <f t="shared" ref="F65:N65" si="349">SUM(F62:F64)</f>
        <v>5952.9236999999994</v>
      </c>
      <c r="G65" s="30">
        <f t="shared" si="349"/>
        <v>6207.9710999999998</v>
      </c>
      <c r="H65" s="30">
        <f t="shared" si="349"/>
        <v>6466.960500000001</v>
      </c>
      <c r="I65" s="30">
        <f t="shared" si="349"/>
        <v>6894.103241025</v>
      </c>
      <c r="J65" s="30">
        <f t="shared" si="349"/>
        <v>7242.944865020866</v>
      </c>
      <c r="K65" s="30">
        <f t="shared" si="349"/>
        <v>7609.4378751909217</v>
      </c>
      <c r="L65" s="30">
        <f t="shared" si="349"/>
        <v>7916.6689294017551</v>
      </c>
      <c r="M65" s="30">
        <f t="shared" si="349"/>
        <v>8236.3044374263482</v>
      </c>
      <c r="N65" s="877">
        <f t="shared" si="349"/>
        <v>8443.4474940276195</v>
      </c>
      <c r="O65" s="38"/>
    </row>
    <row r="66" s="4" customFormat="1" ht="15" customHeight="1" outlineLevel="1">
      <c r="B66" s="878"/>
      <c r="C66" s="432"/>
      <c r="D66" s="853"/>
      <c r="E66" s="432"/>
      <c r="F66" s="843"/>
      <c r="G66" s="843"/>
      <c r="H66" s="843"/>
      <c r="I66" s="843"/>
      <c r="J66" s="843"/>
      <c r="K66" s="843"/>
      <c r="L66" s="843"/>
      <c r="M66" s="843"/>
      <c r="N66" s="843"/>
    </row>
    <row r="67" s="4" customFormat="1" ht="15" customHeight="1" outlineLevel="1">
      <c r="B67" s="73"/>
      <c r="C67" s="67"/>
      <c r="D67" s="399"/>
      <c r="E67" s="67"/>
      <c r="F67" s="289"/>
      <c r="G67" s="289"/>
      <c r="H67" s="289"/>
      <c r="I67" s="289"/>
      <c r="J67" s="289"/>
      <c r="K67" s="289"/>
      <c r="L67" s="289"/>
      <c r="M67" s="289"/>
      <c r="N67" s="289"/>
    </row>
    <row r="68" s="4" customFormat="1" ht="15" customHeight="1" outlineLevel="1">
      <c r="B68" s="61" t="s">
        <v>466</v>
      </c>
      <c r="C68" s="67"/>
      <c r="D68" s="399"/>
      <c r="E68" s="67"/>
      <c r="F68" s="289"/>
      <c r="G68" s="289"/>
      <c r="H68" s="289"/>
      <c r="I68" s="289"/>
      <c r="J68" s="289"/>
      <c r="K68" s="289"/>
      <c r="L68" s="289"/>
      <c r="M68" s="289"/>
      <c r="N68" s="430"/>
      <c r="O68" s="59"/>
    </row>
    <row r="69" s="4" customFormat="1" ht="15" customHeight="1" outlineLevel="1">
      <c r="B69" s="879"/>
      <c r="C69" s="67"/>
      <c r="D69" s="399"/>
      <c r="E69" s="67"/>
      <c r="F69" s="289"/>
      <c r="G69" s="289"/>
      <c r="H69" s="289"/>
      <c r="I69" s="289"/>
      <c r="J69" s="289"/>
      <c r="K69" s="289"/>
      <c r="L69" s="289"/>
      <c r="M69" s="289"/>
      <c r="N69" s="430"/>
      <c r="O69" s="59"/>
    </row>
    <row r="70" s="4" customFormat="1" ht="15" customHeight="1" outlineLevel="1">
      <c r="B70" s="284" t="s">
        <v>467</v>
      </c>
      <c r="C70" s="12"/>
      <c r="D70" s="399" t="s">
        <v>456</v>
      </c>
      <c r="E70" s="14"/>
      <c r="F70" s="279">
        <f t="shared" ref="F70:N72" si="350">(F75*1000)/F$52</f>
        <v>31.165879045283244</v>
      </c>
      <c r="G70" s="279">
        <f t="shared" si="350"/>
        <v>31.236005592873976</v>
      </c>
      <c r="H70" s="279">
        <f t="shared" si="350"/>
        <v>31.307596513075964</v>
      </c>
      <c r="I70" s="279">
        <f t="shared" si="350"/>
        <v>31.459575136925842</v>
      </c>
      <c r="J70" s="279">
        <f t="shared" si="350"/>
        <v>31.768002344150609</v>
      </c>
      <c r="K70" s="279">
        <f t="shared" si="350"/>
        <v>32.079453347524634</v>
      </c>
      <c r="L70" s="279">
        <f t="shared" si="350"/>
        <v>32.395507075086456</v>
      </c>
      <c r="M70" s="279">
        <f t="shared" si="350"/>
        <v>32.714674632476473</v>
      </c>
      <c r="N70" s="862">
        <f t="shared" si="350"/>
        <v>32.876628467290715</v>
      </c>
    </row>
    <row r="71" s="4" customFormat="1" ht="15" customHeight="1" outlineLevel="1">
      <c r="B71" s="284" t="s">
        <v>468</v>
      </c>
      <c r="C71" s="12"/>
      <c r="D71" s="399" t="s">
        <v>456</v>
      </c>
      <c r="E71" s="14"/>
      <c r="F71" s="279">
        <f t="shared" si="350"/>
        <v>7.2800143566429387</v>
      </c>
      <c r="G71" s="279">
        <f t="shared" si="350"/>
        <v>7.2961583213555876</v>
      </c>
      <c r="H71" s="279">
        <f t="shared" si="350"/>
        <v>7.312961011591149</v>
      </c>
      <c r="I71" s="279">
        <f t="shared" si="350"/>
        <v>7.348460822327028</v>
      </c>
      <c r="J71" s="279">
        <f t="shared" si="350"/>
        <v>7.4205045558792531</v>
      </c>
      <c r="K71" s="279">
        <f t="shared" si="350"/>
        <v>7.4932546005447369</v>
      </c>
      <c r="L71" s="279">
        <f t="shared" si="350"/>
        <v>7.5670797690230094</v>
      </c>
      <c r="M71" s="279">
        <f t="shared" si="350"/>
        <v>7.6416322790626454</v>
      </c>
      <c r="N71" s="863">
        <f t="shared" si="350"/>
        <v>7.6794621418302826</v>
      </c>
    </row>
    <row r="72" s="4" customFormat="1" ht="15" customHeight="1" outlineLevel="1">
      <c r="B72" s="284" t="s">
        <v>469</v>
      </c>
      <c r="C72" s="12"/>
      <c r="D72" s="399" t="s">
        <v>456</v>
      </c>
      <c r="E72" s="14"/>
      <c r="F72" s="874">
        <f t="shared" si="350"/>
        <v>4.9111682718191059</v>
      </c>
      <c r="G72" s="874">
        <f t="shared" si="350"/>
        <v>4.9221202076794466</v>
      </c>
      <c r="H72" s="874">
        <f t="shared" si="350"/>
        <v>4.9334227416419196</v>
      </c>
      <c r="I72" s="874">
        <f t="shared" si="350"/>
        <v>4.9573713957275602</v>
      </c>
      <c r="J72" s="874">
        <f t="shared" si="350"/>
        <v>5.0059730760778303</v>
      </c>
      <c r="K72" s="874">
        <f t="shared" si="350"/>
        <v>5.0550512434903583</v>
      </c>
      <c r="L72" s="874">
        <f t="shared" si="350"/>
        <v>5.1048547040173569</v>
      </c>
      <c r="M72" s="874">
        <f t="shared" si="350"/>
        <v>5.1551488390323064</v>
      </c>
      <c r="N72" s="875">
        <f t="shared" si="350"/>
        <v>5.1806693778393971</v>
      </c>
    </row>
    <row r="73" s="4" customFormat="1" ht="15" customHeight="1" outlineLevel="1">
      <c r="B73" s="284" t="s">
        <v>182</v>
      </c>
      <c r="C73" s="67"/>
      <c r="D73" s="399"/>
      <c r="E73" s="67"/>
      <c r="F73" s="279">
        <f t="shared" ref="F73:N78" si="351">SUM(F70:F72)</f>
        <v>43.357061673745292</v>
      </c>
      <c r="G73" s="279">
        <f t="shared" si="351"/>
        <v>43.454284121909012</v>
      </c>
      <c r="H73" s="279">
        <f t="shared" si="351"/>
        <v>43.553980266309033</v>
      </c>
      <c r="I73" s="279">
        <f t="shared" si="351"/>
        <v>43.765407354980432</v>
      </c>
      <c r="J73" s="279">
        <f t="shared" si="351"/>
        <v>44.194479976107694</v>
      </c>
      <c r="K73" s="279">
        <f t="shared" si="351"/>
        <v>44.627759191559733</v>
      </c>
      <c r="L73" s="279">
        <f t="shared" si="351"/>
        <v>45.067441548126823</v>
      </c>
      <c r="M73" s="279">
        <f t="shared" si="351"/>
        <v>45.511455750571429</v>
      </c>
      <c r="N73" s="863">
        <f t="shared" si="351"/>
        <v>45.736759986960394</v>
      </c>
    </row>
    <row r="74" s="4" customFormat="1" ht="15" customHeight="1" outlineLevel="1">
      <c r="B74" s="67"/>
      <c r="C74" s="67"/>
      <c r="D74" s="399"/>
      <c r="E74" s="67"/>
      <c r="F74" s="289"/>
      <c r="G74" s="289"/>
      <c r="H74" s="289"/>
      <c r="I74" s="289"/>
      <c r="J74" s="289"/>
      <c r="K74" s="289"/>
      <c r="L74" s="289"/>
      <c r="M74" s="289"/>
      <c r="N74" s="876"/>
    </row>
    <row r="75" s="4" customFormat="1" ht="15" customHeight="1" outlineLevel="1">
      <c r="B75" s="284" t="s">
        <v>467</v>
      </c>
      <c r="C75" s="12"/>
      <c r="D75" s="400"/>
      <c r="E75" s="14"/>
      <c r="F75" s="400">
        <v>15630</v>
      </c>
      <c r="G75" s="400">
        <v>15973</v>
      </c>
      <c r="H75" s="400">
        <v>16341</v>
      </c>
      <c r="I75" s="30">
        <f t="shared" ref="I75:N77" si="352">H75*(1+I$53)</f>
        <v>16912.934999999998</v>
      </c>
      <c r="J75" s="30">
        <f t="shared" si="352"/>
        <v>17420.323049999999</v>
      </c>
      <c r="K75" s="30">
        <f t="shared" si="352"/>
        <v>17942.932741500001</v>
      </c>
      <c r="L75" s="30">
        <f t="shared" si="352"/>
        <v>18391.5060600375</v>
      </c>
      <c r="M75" s="30">
        <f t="shared" si="352"/>
        <v>18851.293711538437</v>
      </c>
      <c r="N75" s="849">
        <f t="shared" si="352"/>
        <v>19134.063117211514</v>
      </c>
    </row>
    <row r="76" s="4" customFormat="1" ht="15" customHeight="1" outlineLevel="1">
      <c r="B76" s="284" t="s">
        <v>468</v>
      </c>
      <c r="C76" s="12"/>
      <c r="D76" s="399"/>
      <c r="E76" s="14"/>
      <c r="F76" s="400">
        <v>3651</v>
      </c>
      <c r="G76" s="400">
        <v>3731</v>
      </c>
      <c r="H76" s="400">
        <v>3817</v>
      </c>
      <c r="I76" s="30">
        <f t="shared" si="352"/>
        <v>3950.5949999999998</v>
      </c>
      <c r="J76" s="30">
        <f t="shared" si="352"/>
        <v>4069.11285</v>
      </c>
      <c r="K76" s="30">
        <f t="shared" si="352"/>
        <v>4191.1862355000003</v>
      </c>
      <c r="L76" s="30">
        <f t="shared" si="352"/>
        <v>4295.9658913875001</v>
      </c>
      <c r="M76" s="30">
        <f t="shared" si="352"/>
        <v>4403.3650386721874</v>
      </c>
      <c r="N76" s="849">
        <f t="shared" si="352"/>
        <v>4469.4155142522695</v>
      </c>
    </row>
    <row r="77" s="4" customFormat="1" ht="15" customHeight="1" outlineLevel="1">
      <c r="B77" s="284" t="s">
        <v>469</v>
      </c>
      <c r="C77" s="12"/>
      <c r="D77" s="399"/>
      <c r="E77" s="14"/>
      <c r="F77" s="612">
        <v>2463</v>
      </c>
      <c r="G77" s="612">
        <v>2517</v>
      </c>
      <c r="H77" s="612">
        <v>2575</v>
      </c>
      <c r="I77" s="545">
        <f t="shared" si="352"/>
        <v>2665.125</v>
      </c>
      <c r="J77" s="545">
        <f t="shared" si="352"/>
        <v>2745.0787500000001</v>
      </c>
      <c r="K77" s="545">
        <f t="shared" si="352"/>
        <v>2827.4311125000004</v>
      </c>
      <c r="L77" s="545">
        <f t="shared" si="352"/>
        <v>2898.1168903125003</v>
      </c>
      <c r="M77" s="545">
        <f t="shared" si="352"/>
        <v>2970.5698125703125</v>
      </c>
      <c r="N77" s="849">
        <f t="shared" si="352"/>
        <v>3015.1283597588667</v>
      </c>
    </row>
    <row r="78" s="4" customFormat="1" ht="15" customHeight="1" outlineLevel="1">
      <c r="B78" s="284" t="s">
        <v>182</v>
      </c>
      <c r="C78" s="67"/>
      <c r="D78" s="399"/>
      <c r="E78" s="67"/>
      <c r="F78" s="30">
        <f t="shared" si="351"/>
        <v>21744</v>
      </c>
      <c r="G78" s="30">
        <f t="shared" si="351"/>
        <v>22221</v>
      </c>
      <c r="H78" s="30">
        <f t="shared" si="351"/>
        <v>22733</v>
      </c>
      <c r="I78" s="30">
        <f t="shared" si="351"/>
        <v>23528.654999999999</v>
      </c>
      <c r="J78" s="30">
        <f t="shared" si="351"/>
        <v>24234.514650000001</v>
      </c>
      <c r="K78" s="30">
        <f t="shared" si="351"/>
        <v>24961.5500895</v>
      </c>
      <c r="L78" s="30">
        <f t="shared" si="351"/>
        <v>25585.588841737499</v>
      </c>
      <c r="M78" s="30">
        <f t="shared" si="351"/>
        <v>26225.22856278094</v>
      </c>
      <c r="N78" s="877">
        <f t="shared" si="351"/>
        <v>26618.606991222649</v>
      </c>
    </row>
    <row r="79" s="4" customFormat="1" ht="15" customHeight="1" outlineLevel="1">
      <c r="B79" s="878"/>
      <c r="C79" s="432"/>
      <c r="D79" s="853"/>
      <c r="E79" s="432"/>
      <c r="F79" s="843"/>
      <c r="G79" s="578"/>
      <c r="H79" s="578"/>
      <c r="I79" s="843"/>
      <c r="J79" s="843"/>
      <c r="K79" s="843"/>
      <c r="L79" s="843"/>
      <c r="M79" s="843"/>
      <c r="N79" s="843"/>
    </row>
    <row r="80" s="4" customFormat="1" ht="15" customHeight="1" outlineLevel="1">
      <c r="B80" s="73"/>
      <c r="C80" s="67"/>
      <c r="D80" s="399"/>
      <c r="E80" s="67"/>
      <c r="F80" s="289"/>
      <c r="G80" s="856"/>
      <c r="H80" s="856"/>
      <c r="I80" s="289"/>
      <c r="J80" s="289"/>
      <c r="K80" s="289"/>
      <c r="L80" s="289"/>
      <c r="M80" s="289"/>
      <c r="N80" s="289"/>
    </row>
    <row r="81" s="4" customFormat="1" ht="15" customHeight="1" outlineLevel="1">
      <c r="B81" s="61" t="s">
        <v>470</v>
      </c>
      <c r="C81" s="67"/>
      <c r="D81" s="399"/>
      <c r="E81" s="67"/>
      <c r="F81" s="289"/>
      <c r="G81" s="289"/>
      <c r="H81" s="289"/>
      <c r="I81" s="289"/>
    </row>
    <row r="82" s="4" customFormat="1" ht="15" customHeight="1" outlineLevel="1">
      <c r="B82" s="61"/>
      <c r="C82" s="67"/>
      <c r="D82" s="399"/>
      <c r="E82" s="67"/>
      <c r="F82" s="289"/>
      <c r="G82" s="289"/>
      <c r="H82" s="289"/>
      <c r="I82" s="289"/>
      <c r="J82" s="289"/>
      <c r="K82" s="289"/>
      <c r="L82" s="289"/>
      <c r="M82" s="289"/>
      <c r="N82" s="430"/>
    </row>
    <row r="83" s="4" customFormat="1" ht="15" customHeight="1" outlineLevel="1">
      <c r="B83" s="284" t="s">
        <v>471</v>
      </c>
      <c r="C83" s="67"/>
      <c r="D83" s="399" t="s">
        <v>456</v>
      </c>
      <c r="E83" s="67"/>
      <c r="F83" s="279">
        <f t="shared" ref="F83:N83" si="353">F60</f>
        <v>11.870000000000001</v>
      </c>
      <c r="G83" s="279">
        <f t="shared" si="353"/>
        <v>12.140000000000001</v>
      </c>
      <c r="H83" s="279">
        <f t="shared" si="353"/>
        <v>12.390000000000001</v>
      </c>
      <c r="I83" s="279">
        <f t="shared" si="353"/>
        <v>12.823650000000001</v>
      </c>
      <c r="J83" s="279">
        <f t="shared" si="353"/>
        <v>13.2083595</v>
      </c>
      <c r="K83" s="279">
        <f t="shared" si="353"/>
        <v>13.604610285000001</v>
      </c>
      <c r="L83" s="279">
        <f t="shared" si="353"/>
        <v>13.944725542124999</v>
      </c>
      <c r="M83" s="279">
        <f t="shared" si="353"/>
        <v>14.293343680678124</v>
      </c>
      <c r="N83" s="862">
        <f t="shared" si="353"/>
        <v>14.507743835888295</v>
      </c>
    </row>
    <row r="84" s="4" customFormat="1" ht="15" customHeight="1" outlineLevel="1">
      <c r="B84" s="284" t="s">
        <v>472</v>
      </c>
      <c r="C84" s="67"/>
      <c r="D84" s="399" t="s">
        <v>456</v>
      </c>
      <c r="E84" s="67"/>
      <c r="F84" s="874">
        <f t="shared" ref="F84:N84" si="354">F73</f>
        <v>43.357061673745292</v>
      </c>
      <c r="G84" s="874">
        <f t="shared" si="354"/>
        <v>43.454284121909012</v>
      </c>
      <c r="H84" s="874">
        <f t="shared" si="354"/>
        <v>43.553980266309033</v>
      </c>
      <c r="I84" s="874">
        <f t="shared" si="354"/>
        <v>43.765407354980432</v>
      </c>
      <c r="J84" s="874">
        <f t="shared" si="354"/>
        <v>44.194479976107694</v>
      </c>
      <c r="K84" s="874">
        <f t="shared" si="354"/>
        <v>44.627759191559733</v>
      </c>
      <c r="L84" s="874">
        <f t="shared" si="354"/>
        <v>45.067441548126823</v>
      </c>
      <c r="M84" s="874">
        <f t="shared" si="354"/>
        <v>45.511455750571429</v>
      </c>
      <c r="N84" s="875">
        <f t="shared" si="354"/>
        <v>45.736759986960394</v>
      </c>
    </row>
    <row r="85" s="4" customFormat="1" ht="15" customHeight="1" outlineLevel="1">
      <c r="B85" s="284" t="s">
        <v>473</v>
      </c>
      <c r="C85" s="67"/>
      <c r="D85" s="399" t="s">
        <v>456</v>
      </c>
      <c r="E85" s="67"/>
      <c r="F85" s="279">
        <f t="shared" ref="F85:N85" si="355">SUM(F83:F84)</f>
        <v>55.227061673745297</v>
      </c>
      <c r="G85" s="279">
        <f t="shared" si="355"/>
        <v>55.594284121909013</v>
      </c>
      <c r="H85" s="279">
        <f t="shared" si="355"/>
        <v>55.943980266309033</v>
      </c>
      <c r="I85" s="279">
        <f t="shared" si="355"/>
        <v>56.589057354980433</v>
      </c>
      <c r="J85" s="279">
        <f t="shared" si="355"/>
        <v>57.402839476107694</v>
      </c>
      <c r="K85" s="279">
        <f t="shared" si="355"/>
        <v>58.232369476559732</v>
      </c>
      <c r="L85" s="279">
        <f t="shared" si="355"/>
        <v>59.012167090251822</v>
      </c>
      <c r="M85" s="279">
        <f t="shared" si="355"/>
        <v>59.804799431249549</v>
      </c>
      <c r="N85" s="863">
        <f t="shared" si="355"/>
        <v>60.244503822848685</v>
      </c>
    </row>
    <row r="86" s="4" customFormat="1" ht="15" customHeight="1" outlineLevel="1">
      <c r="B86" s="73"/>
      <c r="C86" s="67"/>
      <c r="D86" s="399"/>
      <c r="E86" s="67"/>
      <c r="F86" s="279"/>
      <c r="G86" s="279"/>
      <c r="H86" s="279"/>
      <c r="I86" s="279"/>
      <c r="J86" s="279"/>
      <c r="K86" s="279"/>
      <c r="L86" s="279"/>
      <c r="M86" s="279"/>
      <c r="N86" s="863"/>
    </row>
    <row r="87" s="4" customFormat="1" ht="15" customHeight="1" outlineLevel="1">
      <c r="B87" s="284" t="s">
        <v>471</v>
      </c>
      <c r="C87" s="67"/>
      <c r="D87" s="399"/>
      <c r="E87" s="67"/>
      <c r="F87" s="30">
        <f t="shared" ref="F87:N87" si="356">F65</f>
        <v>5952.9236999999994</v>
      </c>
      <c r="G87" s="30">
        <f t="shared" si="356"/>
        <v>6207.9710999999998</v>
      </c>
      <c r="H87" s="30">
        <f t="shared" si="356"/>
        <v>6466.960500000001</v>
      </c>
      <c r="I87" s="30">
        <f t="shared" si="356"/>
        <v>6894.103241025</v>
      </c>
      <c r="J87" s="30">
        <f t="shared" si="356"/>
        <v>7242.944865020866</v>
      </c>
      <c r="K87" s="30">
        <f t="shared" si="356"/>
        <v>7609.4378751909217</v>
      </c>
      <c r="L87" s="30">
        <f t="shared" si="356"/>
        <v>7916.6689294017551</v>
      </c>
      <c r="M87" s="30">
        <f t="shared" si="356"/>
        <v>8236.3044374263482</v>
      </c>
      <c r="N87" s="849">
        <f t="shared" si="356"/>
        <v>8443.4474940276195</v>
      </c>
    </row>
    <row r="88" s="4" customFormat="1" ht="15" customHeight="1" outlineLevel="1">
      <c r="B88" s="284" t="s">
        <v>472</v>
      </c>
      <c r="C88" s="67"/>
      <c r="D88" s="399"/>
      <c r="E88" s="67"/>
      <c r="F88" s="30">
        <f t="shared" ref="F88:N88" si="357">F78</f>
        <v>21744</v>
      </c>
      <c r="G88" s="30">
        <f t="shared" si="357"/>
        <v>22221</v>
      </c>
      <c r="H88" s="30">
        <f t="shared" si="357"/>
        <v>22733</v>
      </c>
      <c r="I88" s="30">
        <f t="shared" si="357"/>
        <v>23528.654999999999</v>
      </c>
      <c r="J88" s="30">
        <f t="shared" si="357"/>
        <v>24234.514650000001</v>
      </c>
      <c r="K88" s="30">
        <f t="shared" si="357"/>
        <v>24961.5500895</v>
      </c>
      <c r="L88" s="30">
        <f t="shared" si="357"/>
        <v>25585.588841737499</v>
      </c>
      <c r="M88" s="30">
        <f t="shared" si="357"/>
        <v>26225.22856278094</v>
      </c>
      <c r="N88" s="849">
        <f t="shared" si="357"/>
        <v>26618.606991222649</v>
      </c>
    </row>
    <row r="89" s="4" customFormat="1" ht="15" customHeight="1" outlineLevel="1">
      <c r="B89" s="284" t="s">
        <v>473</v>
      </c>
      <c r="C89" s="67"/>
      <c r="D89" s="399"/>
      <c r="E89" s="67"/>
      <c r="F89" s="864">
        <f t="shared" ref="F89:N89" si="358">SUM(F87:F88)</f>
        <v>27696.923699999999</v>
      </c>
      <c r="G89" s="864">
        <f t="shared" si="358"/>
        <v>28428.971099999999</v>
      </c>
      <c r="H89" s="864">
        <f t="shared" si="358"/>
        <v>29199.960500000001</v>
      </c>
      <c r="I89" s="864">
        <f t="shared" si="358"/>
        <v>30422.758241025</v>
      </c>
      <c r="J89" s="864">
        <f t="shared" si="358"/>
        <v>31477.459515020866</v>
      </c>
      <c r="K89" s="864">
        <f t="shared" si="358"/>
        <v>32570.987964690921</v>
      </c>
      <c r="L89" s="864">
        <f t="shared" si="358"/>
        <v>33502.257771139251</v>
      </c>
      <c r="M89" s="864">
        <f t="shared" si="358"/>
        <v>34461.533000207288</v>
      </c>
      <c r="N89" s="865">
        <f t="shared" si="358"/>
        <v>35062.054485250264</v>
      </c>
      <c r="S89" s="870" t="str">
        <f>IF(SUM(S52:S86)=1,"COMPLETE","")</f>
        <v>COMPLETE</v>
      </c>
    </row>
    <row r="90" s="4" customFormat="1" ht="15" customHeight="1" outlineLevel="1">
      <c r="B90" s="61"/>
      <c r="C90" s="67"/>
      <c r="D90" s="399"/>
      <c r="E90" s="67"/>
      <c r="F90" s="30"/>
      <c r="G90" s="30"/>
      <c r="H90" s="30"/>
      <c r="I90" s="30"/>
      <c r="J90" s="30"/>
      <c r="K90" s="30"/>
      <c r="L90" s="30"/>
      <c r="M90" s="30"/>
      <c r="N90" s="30"/>
    </row>
    <row r="91" s="4" customFormat="1" ht="15" customHeight="1" outlineLevel="1">
      <c r="B91" s="878"/>
      <c r="C91" s="281"/>
      <c r="D91" s="853"/>
      <c r="E91" s="501"/>
      <c r="F91" s="612"/>
      <c r="G91" s="612"/>
      <c r="H91" s="880"/>
      <c r="I91" s="880"/>
      <c r="J91" s="880"/>
      <c r="K91" s="880"/>
      <c r="L91" s="880"/>
      <c r="M91" s="880"/>
      <c r="N91" s="880"/>
      <c r="O91" s="59"/>
    </row>
    <row r="92" s="4" customFormat="1" ht="15" customHeight="1">
      <c r="B92" s="73"/>
      <c r="C92" s="12"/>
      <c r="D92" s="399"/>
      <c r="E92" s="14"/>
      <c r="F92" s="400"/>
      <c r="G92" s="400"/>
      <c r="H92" s="400"/>
      <c r="I92" s="30"/>
      <c r="J92" s="30"/>
      <c r="K92" s="30"/>
      <c r="L92" s="30"/>
      <c r="M92" s="30"/>
      <c r="N92" s="30"/>
      <c r="O92" s="59"/>
    </row>
    <row r="93" s="23" customFormat="1" ht="15" customHeight="1">
      <c r="A93" s="4" t="s">
        <v>0</v>
      </c>
      <c r="B93" s="6" t="s">
        <v>158</v>
      </c>
      <c r="C93" s="7"/>
      <c r="D93" s="8"/>
      <c r="E93" s="8"/>
      <c r="F93" s="9"/>
      <c r="G93" s="9"/>
      <c r="H93" s="9"/>
      <c r="I93" s="9"/>
      <c r="J93" s="9"/>
      <c r="K93" s="9"/>
      <c r="L93" s="9"/>
      <c r="M93" s="9"/>
      <c r="N93" s="401"/>
    </row>
    <row r="94" s="23" customFormat="1" ht="15" customHeight="1" outlineLevel="1">
      <c r="B94" s="176"/>
      <c r="C94" s="12"/>
      <c r="D94" s="13"/>
      <c r="E94" s="13"/>
      <c r="F94" s="10"/>
      <c r="G94" s="10"/>
      <c r="H94" s="10"/>
      <c r="I94" s="10"/>
      <c r="J94" s="10"/>
      <c r="K94" s="10"/>
      <c r="L94" s="10"/>
      <c r="M94" s="10"/>
      <c r="N94" s="10"/>
    </row>
    <row r="95" s="23" customFormat="1" ht="15" customHeight="1" outlineLevel="1">
      <c r="B95" s="11" t="s">
        <v>3</v>
      </c>
      <c r="C95" s="12"/>
      <c r="D95" s="14"/>
      <c r="E95" s="14"/>
      <c r="F95" s="837">
        <f t="shared" ref="F95:N95" si="359">F$5</f>
        <v>2020</v>
      </c>
      <c r="G95" s="837">
        <f t="shared" si="359"/>
        <v>2021</v>
      </c>
      <c r="H95" s="837">
        <f t="shared" si="359"/>
        <v>2022</v>
      </c>
      <c r="I95" s="177">
        <f t="shared" si="359"/>
        <v>2023</v>
      </c>
      <c r="J95" s="177">
        <f t="shared" si="359"/>
        <v>2024</v>
      </c>
      <c r="K95" s="177">
        <f t="shared" si="359"/>
        <v>2025</v>
      </c>
      <c r="L95" s="177">
        <f t="shared" si="359"/>
        <v>2026</v>
      </c>
      <c r="M95" s="177">
        <f t="shared" si="359"/>
        <v>2027</v>
      </c>
      <c r="N95" s="177" t="str">
        <f t="shared" si="359"/>
        <v>Term</v>
      </c>
    </row>
    <row r="96" ht="15" customHeight="1" outlineLevel="1">
      <c r="A96" s="4"/>
      <c r="B96" s="11" t="str">
        <f>$B$6</f>
        <v xml:space="preserve">Model Running: Base Case Drivers</v>
      </c>
      <c r="C96" s="12"/>
      <c r="D96" s="14"/>
      <c r="E96" s="14"/>
      <c r="F96" s="14"/>
      <c r="G96" s="14"/>
      <c r="H96" s="14"/>
      <c r="I96" s="16"/>
      <c r="J96" s="16"/>
      <c r="K96" s="16"/>
      <c r="L96" s="16"/>
      <c r="M96" s="16"/>
      <c r="N96" s="16"/>
    </row>
    <row r="97" s="23" customFormat="1" ht="15" customHeight="1" outlineLevel="1">
      <c r="B97" s="11"/>
      <c r="C97" s="12"/>
      <c r="D97" s="14"/>
      <c r="E97" s="14"/>
      <c r="F97" s="14"/>
      <c r="G97" s="14"/>
      <c r="H97" s="14"/>
    </row>
    <row r="98" ht="15" customHeight="1" outlineLevel="1">
      <c r="A98" s="4"/>
      <c r="B98" s="73" t="s">
        <v>461</v>
      </c>
      <c r="C98" s="12"/>
      <c r="D98" s="14"/>
      <c r="E98" s="14"/>
      <c r="F98" s="881">
        <f t="shared" ref="F98:N98" si="360">F53</f>
        <v>0.024</v>
      </c>
      <c r="G98" s="882">
        <f t="shared" si="360"/>
        <v>0.021999999999999999</v>
      </c>
      <c r="H98" s="882">
        <f t="shared" si="360"/>
        <v>0.023</v>
      </c>
      <c r="I98" s="882">
        <f t="shared" si="360"/>
        <v>0.035000000000000003</v>
      </c>
      <c r="J98" s="882">
        <f t="shared" si="360"/>
        <v>0.029999999999999999</v>
      </c>
      <c r="K98" s="882">
        <f t="shared" si="360"/>
        <v>0.029999999999999999</v>
      </c>
      <c r="L98" s="882">
        <f t="shared" si="360"/>
        <v>0.025000000000000001</v>
      </c>
      <c r="M98" s="882">
        <f t="shared" si="360"/>
        <v>0.025000000000000001</v>
      </c>
      <c r="N98" s="883">
        <f t="shared" si="360"/>
        <v>0.014999999999999999</v>
      </c>
    </row>
    <row r="99" ht="15" customHeight="1" outlineLevel="1">
      <c r="A99" s="4"/>
      <c r="B99" s="73"/>
      <c r="C99" s="12"/>
      <c r="D99" s="14"/>
      <c r="E99" s="14"/>
      <c r="F99" s="405"/>
      <c r="G99" s="405"/>
      <c r="H99" s="405"/>
      <c r="I99" s="405"/>
      <c r="J99" s="405"/>
      <c r="K99" s="405"/>
      <c r="L99" s="405"/>
      <c r="M99" s="405"/>
      <c r="N99" s="405"/>
    </row>
    <row r="100" s="23" customFormat="1" ht="15" customHeight="1" outlineLevel="1">
      <c r="B100" s="406" t="s">
        <v>169</v>
      </c>
      <c r="C100" s="884" t="e">
        <f>Inputs!#REF!</f>
        <v>#REF!</v>
      </c>
      <c r="D100" s="14"/>
      <c r="E100" s="14"/>
      <c r="F100" s="14"/>
      <c r="G100" s="14"/>
      <c r="H100" s="14"/>
    </row>
    <row r="101" s="23" customFormat="1" ht="15" customHeight="1" outlineLevel="1">
      <c r="B101" s="408" t="s">
        <v>101</v>
      </c>
      <c r="C101" s="885">
        <f>Inputs!L81</f>
        <v>0.25</v>
      </c>
      <c r="E101" s="14"/>
      <c r="F101" s="14"/>
      <c r="G101" s="14"/>
      <c r="H101" s="14"/>
      <c r="I101" s="16"/>
      <c r="J101" s="16"/>
      <c r="K101" s="16"/>
      <c r="L101" s="16"/>
      <c r="M101" s="16"/>
      <c r="O101" s="59"/>
    </row>
    <row r="102" s="23" customFormat="1" ht="15" customHeight="1" outlineLevel="1">
      <c r="B102" s="17"/>
      <c r="C102" s="12"/>
      <c r="D102" s="14"/>
      <c r="E102" s="14"/>
      <c r="F102" s="14"/>
      <c r="G102" s="14"/>
      <c r="H102" s="14"/>
      <c r="Q102" s="39" t="s">
        <v>6</v>
      </c>
      <c r="R102" s="40" t="s">
        <v>7</v>
      </c>
      <c r="S102" s="41" t="s">
        <v>8</v>
      </c>
    </row>
    <row r="103" s="4" customFormat="1" ht="15" customHeight="1" outlineLevel="1">
      <c r="B103" s="284" t="s">
        <v>159</v>
      </c>
      <c r="C103" s="67"/>
      <c r="D103" s="14"/>
      <c r="E103" s="67"/>
      <c r="F103" s="410">
        <v>51585</v>
      </c>
      <c r="G103" s="410">
        <v>53494</v>
      </c>
      <c r="H103" s="410">
        <v>55749</v>
      </c>
      <c r="I103" s="886" t="e">
        <f t="shared" ref="I103:I104" si="361">Model!#REF!</f>
        <v>#REF!</v>
      </c>
      <c r="J103" s="886" t="e">
        <f t="shared" ref="J103:J104" si="362">Model!#REF!</f>
        <v>#REF!</v>
      </c>
      <c r="K103" s="886" t="e">
        <f t="shared" ref="K103:K104" si="363">Model!#REF!</f>
        <v>#REF!</v>
      </c>
      <c r="L103" s="886" t="e">
        <f t="shared" ref="L103:L104" si="364">Model!#REF!</f>
        <v>#REF!</v>
      </c>
      <c r="M103" s="886" t="e">
        <f t="shared" ref="M103:M104" si="365">Model!#REF!</f>
        <v>#REF!</v>
      </c>
      <c r="N103" s="887" t="e">
        <f t="shared" ref="N103:N104" si="366">Model!#REF!</f>
        <v>#REF!</v>
      </c>
      <c r="Q103" s="51">
        <f>SUM(Model!I19:N19)</f>
        <v>347238.16579319659</v>
      </c>
      <c r="R103" s="52" t="e">
        <f t="shared" ref="R103:R109" si="367">SUM(I103:N103)</f>
        <v>#REF!</v>
      </c>
      <c r="S103" s="53" t="e">
        <f>IF(ISBLANK(Model!I19),0,IF(Q103=R103,1,0))</f>
        <v>#REF!</v>
      </c>
    </row>
    <row r="104" s="4" customFormat="1" ht="15" customHeight="1" outlineLevel="1">
      <c r="B104" s="284" t="s">
        <v>161</v>
      </c>
      <c r="C104" s="67"/>
      <c r="D104" s="67"/>
      <c r="E104" s="67"/>
      <c r="F104" s="412">
        <v>27697</v>
      </c>
      <c r="G104" s="412">
        <v>28429</v>
      </c>
      <c r="H104" s="412">
        <v>29200</v>
      </c>
      <c r="I104" s="888" t="e">
        <f t="shared" si="361"/>
        <v>#REF!</v>
      </c>
      <c r="J104" s="888" t="e">
        <f t="shared" si="362"/>
        <v>#REF!</v>
      </c>
      <c r="K104" s="888" t="e">
        <f t="shared" si="363"/>
        <v>#REF!</v>
      </c>
      <c r="L104" s="888" t="e">
        <f t="shared" si="364"/>
        <v>#REF!</v>
      </c>
      <c r="M104" s="888" t="e">
        <f t="shared" si="365"/>
        <v>#REF!</v>
      </c>
      <c r="N104" s="889" t="e">
        <f t="shared" si="366"/>
        <v>#REF!</v>
      </c>
      <c r="Q104" s="70">
        <f>SUM(Model!I20:N20)</f>
        <v>-171409.99296402806</v>
      </c>
      <c r="R104" s="71" t="e">
        <f t="shared" si="367"/>
        <v>#REF!</v>
      </c>
      <c r="S104" s="72" t="e">
        <f>IF(ISBLANK(Model!I20),0,IF(Q104=R104,1,0))</f>
        <v>#REF!</v>
      </c>
    </row>
    <row r="105" s="4" customFormat="1" ht="15" customHeight="1" outlineLevel="1">
      <c r="B105" s="180" t="s">
        <v>162</v>
      </c>
      <c r="C105" s="414"/>
      <c r="D105" s="67"/>
      <c r="E105" s="67"/>
      <c r="F105" s="242">
        <f t="shared" ref="F105:N105" si="368">F103-F104</f>
        <v>23888</v>
      </c>
      <c r="G105" s="242">
        <f t="shared" si="368"/>
        <v>25065</v>
      </c>
      <c r="H105" s="242">
        <f t="shared" si="368"/>
        <v>26549</v>
      </c>
      <c r="I105" s="242" t="e">
        <f t="shared" si="368"/>
        <v>#REF!</v>
      </c>
      <c r="J105" s="242" t="e">
        <f t="shared" si="368"/>
        <v>#REF!</v>
      </c>
      <c r="K105" s="242" t="e">
        <f t="shared" si="368"/>
        <v>#REF!</v>
      </c>
      <c r="L105" s="242" t="e">
        <f t="shared" si="368"/>
        <v>#REF!</v>
      </c>
      <c r="M105" s="242" t="e">
        <f t="shared" si="368"/>
        <v>#REF!</v>
      </c>
      <c r="N105" s="417" t="e">
        <f t="shared" si="368"/>
        <v>#REF!</v>
      </c>
    </row>
    <row r="106" s="4" customFormat="1" ht="15" customHeight="1" outlineLevel="1">
      <c r="B106" s="180"/>
      <c r="C106" s="414"/>
      <c r="D106" s="67"/>
      <c r="E106" s="67"/>
      <c r="F106" s="416"/>
      <c r="G106" s="416"/>
      <c r="H106" s="416"/>
      <c r="I106" s="242"/>
      <c r="J106" s="242"/>
      <c r="K106" s="242"/>
      <c r="L106" s="242"/>
      <c r="M106" s="242"/>
      <c r="N106" s="417"/>
    </row>
    <row r="107" s="4" customFormat="1" ht="15" customHeight="1" outlineLevel="1">
      <c r="B107" s="284"/>
      <c r="C107" s="67"/>
      <c r="D107" s="67"/>
      <c r="E107" s="67"/>
      <c r="F107" s="418"/>
      <c r="G107" s="418"/>
      <c r="H107" s="418"/>
      <c r="I107" s="416"/>
      <c r="J107" s="416"/>
      <c r="K107" s="416"/>
      <c r="L107" s="416"/>
      <c r="M107" s="416"/>
      <c r="N107" s="419"/>
      <c r="Q107" s="39" t="s">
        <v>6</v>
      </c>
      <c r="R107" s="40" t="s">
        <v>7</v>
      </c>
      <c r="S107" s="41" t="s">
        <v>8</v>
      </c>
    </row>
    <row r="108" s="4" customFormat="1" ht="15" customHeight="1" outlineLevel="1">
      <c r="B108" s="284" t="s">
        <v>163</v>
      </c>
      <c r="C108" s="67"/>
      <c r="D108" s="410"/>
      <c r="E108" s="67"/>
      <c r="F108" s="410">
        <v>5877</v>
      </c>
      <c r="G108" s="410">
        <v>6006</v>
      </c>
      <c r="H108" s="410">
        <v>6144</v>
      </c>
      <c r="I108" s="886">
        <f>H108*(1+Model!I$14)</f>
        <v>6359.0399999999991</v>
      </c>
      <c r="J108" s="886">
        <f>I108*(1+Model!J$14)</f>
        <v>6549.8111999999992</v>
      </c>
      <c r="K108" s="886">
        <f>J108*(1+Model!K$14)</f>
        <v>6746.3055359999989</v>
      </c>
      <c r="L108" s="886">
        <f>K108*(1+Model!L$14)</f>
        <v>6914.963174399998</v>
      </c>
      <c r="M108" s="886">
        <f>L108*(1+Model!M$14)</f>
        <v>7087.8372537599971</v>
      </c>
      <c r="N108" s="890">
        <f>M108*(1+Model!N$14)</f>
        <v>7194.1548125663967</v>
      </c>
      <c r="Q108" s="51">
        <f>SUM(Model!I24:N24)</f>
        <v>-40852.111976726388</v>
      </c>
      <c r="R108" s="52">
        <f t="shared" si="367"/>
        <v>40852.111976726388</v>
      </c>
      <c r="S108" s="53">
        <f>IF(ISBLANK(Model!I24),0,IF(Q108=R108,1,0))</f>
        <v>0</v>
      </c>
    </row>
    <row r="109" s="4" customFormat="1" ht="15" customHeight="1" outlineLevel="1">
      <c r="B109" s="284" t="s">
        <v>164</v>
      </c>
      <c r="C109" s="67"/>
      <c r="D109" s="67"/>
      <c r="E109" s="67"/>
      <c r="F109" s="412">
        <v>1764</v>
      </c>
      <c r="G109" s="412">
        <v>1931</v>
      </c>
      <c r="H109" s="412">
        <v>2026</v>
      </c>
      <c r="I109" s="888">
        <f>H109*(1+Model!I$14)</f>
        <v>2096.9099999999999</v>
      </c>
      <c r="J109" s="888">
        <f>I109*(1+Model!J$14)</f>
        <v>2159.8172999999997</v>
      </c>
      <c r="K109" s="888">
        <f>J109*(1+Model!K$14)</f>
        <v>2224.6118189999997</v>
      </c>
      <c r="L109" s="888">
        <f>K109*(1+Model!L$14)</f>
        <v>2280.2271144749993</v>
      </c>
      <c r="M109" s="888">
        <f>L109*(1+Model!M$14)</f>
        <v>2337.2327923368739</v>
      </c>
      <c r="N109" s="889">
        <f>M109*(1+Model!N$14)</f>
        <v>2372.2912842219266</v>
      </c>
      <c r="Q109" s="70">
        <f>SUM(Model!I25:N25)</f>
        <v>-13471.090310033798</v>
      </c>
      <c r="R109" s="71">
        <f t="shared" si="367"/>
        <v>13471.090310033798</v>
      </c>
      <c r="S109" s="72">
        <f>IF(ISBLANK(Model!I25),0,IF(Q109=R109,1,0))</f>
        <v>0</v>
      </c>
    </row>
    <row r="110" s="4" customFormat="1" ht="15" customHeight="1" outlineLevel="1">
      <c r="B110" s="180" t="s">
        <v>165</v>
      </c>
      <c r="C110" s="414"/>
      <c r="D110" s="67"/>
      <c r="E110" s="67"/>
      <c r="F110" s="242">
        <f t="shared" ref="F110:N110" si="369">F105-SUM(F108:F109)</f>
        <v>16247</v>
      </c>
      <c r="G110" s="242">
        <f t="shared" si="369"/>
        <v>17128</v>
      </c>
      <c r="H110" s="242">
        <f t="shared" si="369"/>
        <v>18379</v>
      </c>
      <c r="I110" s="242" t="e">
        <f t="shared" si="369"/>
        <v>#REF!</v>
      </c>
      <c r="J110" s="242" t="e">
        <f t="shared" si="369"/>
        <v>#REF!</v>
      </c>
      <c r="K110" s="242" t="e">
        <f t="shared" si="369"/>
        <v>#REF!</v>
      </c>
      <c r="L110" s="242" t="e">
        <f t="shared" si="369"/>
        <v>#REF!</v>
      </c>
      <c r="M110" s="242" t="e">
        <f t="shared" si="369"/>
        <v>#REF!</v>
      </c>
      <c r="N110" s="417" t="e">
        <f t="shared" si="369"/>
        <v>#REF!</v>
      </c>
    </row>
    <row r="111" s="4" customFormat="1" ht="15" customHeight="1" outlineLevel="1">
      <c r="B111" s="180"/>
      <c r="C111" s="414"/>
      <c r="D111" s="67"/>
      <c r="E111" s="67"/>
      <c r="F111" s="416"/>
      <c r="G111" s="416"/>
      <c r="H111" s="416"/>
      <c r="I111" s="242"/>
      <c r="J111" s="242"/>
      <c r="K111" s="242"/>
      <c r="L111" s="242"/>
      <c r="M111" s="242"/>
      <c r="N111" s="417"/>
    </row>
    <row r="112" s="4" customFormat="1" ht="15" customHeight="1" outlineLevel="1">
      <c r="B112" s="284"/>
      <c r="C112" s="67"/>
      <c r="D112" s="67"/>
      <c r="E112" s="67"/>
      <c r="F112" s="242"/>
      <c r="G112" s="242"/>
      <c r="H112" s="242"/>
      <c r="I112" s="242"/>
      <c r="J112" s="242"/>
      <c r="K112" s="242"/>
      <c r="L112" s="242"/>
      <c r="M112" s="242"/>
      <c r="N112" s="417"/>
      <c r="Q112" s="25" t="s">
        <v>6</v>
      </c>
      <c r="R112" s="26" t="s">
        <v>7</v>
      </c>
      <c r="S112" s="27" t="s">
        <v>8</v>
      </c>
    </row>
    <row r="113" s="4" customFormat="1" ht="15" customHeight="1" outlineLevel="1">
      <c r="B113" s="284" t="s">
        <v>167</v>
      </c>
      <c r="C113" s="67"/>
      <c r="D113" s="67"/>
      <c r="E113" s="67"/>
      <c r="F113" s="412">
        <v>2960</v>
      </c>
      <c r="G113" s="412">
        <v>3196</v>
      </c>
      <c r="H113" s="412">
        <v>3452</v>
      </c>
      <c r="I113" s="888">
        <f>Model!I197</f>
        <v>4962.9375</v>
      </c>
      <c r="J113" s="888">
        <f>Model!J197</f>
        <v>5412.9375</v>
      </c>
      <c r="K113" s="888">
        <f>Model!K197</f>
        <v>5837.9375</v>
      </c>
      <c r="L113" s="888">
        <f>Model!L197</f>
        <v>6187.9375</v>
      </c>
      <c r="M113" s="888">
        <f>Model!M197</f>
        <v>6437.9375</v>
      </c>
      <c r="N113" s="889">
        <f>Inputs!L24</f>
        <v>6000</v>
      </c>
      <c r="Q113" s="891">
        <f>SUM(Model!I29:N29)</f>
        <v>-35552.625</v>
      </c>
      <c r="R113" s="892">
        <f>SUM(Model!I197:M197)+Inputs!L24</f>
        <v>34839.6875</v>
      </c>
      <c r="S113" s="33">
        <f>IF(ISBLANK(Model!I29),0,IF(Q113=R113,1,0))</f>
        <v>0</v>
      </c>
    </row>
    <row r="114" s="4" customFormat="1" ht="15" customHeight="1" outlineLevel="1">
      <c r="B114" s="180" t="s">
        <v>168</v>
      </c>
      <c r="C114" s="414"/>
      <c r="D114" s="67"/>
      <c r="E114" s="67"/>
      <c r="F114" s="242">
        <f t="shared" ref="F114:N114" si="370">F110-F113</f>
        <v>13287</v>
      </c>
      <c r="G114" s="242">
        <f t="shared" si="370"/>
        <v>13932</v>
      </c>
      <c r="H114" s="242">
        <f t="shared" si="370"/>
        <v>14927</v>
      </c>
      <c r="I114" s="242" t="e">
        <f t="shared" si="370"/>
        <v>#REF!</v>
      </c>
      <c r="J114" s="242" t="e">
        <f t="shared" si="370"/>
        <v>#REF!</v>
      </c>
      <c r="K114" s="242" t="e">
        <f t="shared" si="370"/>
        <v>#REF!</v>
      </c>
      <c r="L114" s="242" t="e">
        <f t="shared" si="370"/>
        <v>#REF!</v>
      </c>
      <c r="M114" s="242" t="e">
        <f t="shared" si="370"/>
        <v>#REF!</v>
      </c>
      <c r="N114" s="417" t="e">
        <f t="shared" si="370"/>
        <v>#REF!</v>
      </c>
      <c r="Q114" s="893"/>
      <c r="R114" s="893"/>
      <c r="S114" s="894"/>
    </row>
    <row r="115" s="4" customFormat="1" ht="15" customHeight="1" outlineLevel="1">
      <c r="B115" s="180"/>
      <c r="C115" s="414"/>
      <c r="D115" s="67"/>
      <c r="E115" s="67"/>
      <c r="F115" s="242"/>
      <c r="G115" s="242"/>
      <c r="H115" s="242"/>
      <c r="I115" s="242"/>
      <c r="J115" s="242"/>
      <c r="K115" s="242"/>
      <c r="L115" s="242"/>
      <c r="M115" s="242"/>
      <c r="N115" s="417"/>
      <c r="Q115" s="25" t="s">
        <v>6</v>
      </c>
      <c r="R115" s="26" t="s">
        <v>7</v>
      </c>
      <c r="S115" s="27" t="s">
        <v>8</v>
      </c>
    </row>
    <row r="116" s="4" customFormat="1" ht="15" customHeight="1" outlineLevel="1">
      <c r="B116" s="284" t="s">
        <v>474</v>
      </c>
      <c r="C116" s="67"/>
      <c r="D116" s="67"/>
      <c r="E116" s="67"/>
      <c r="F116" s="412">
        <v>1488</v>
      </c>
      <c r="G116" s="412">
        <v>2580</v>
      </c>
      <c r="H116" s="412">
        <v>2448</v>
      </c>
      <c r="I116" s="888" t="e">
        <f t="shared" ref="I116:N116" si="371">$C$100</f>
        <v>#REF!</v>
      </c>
      <c r="J116" s="888" t="e">
        <f t="shared" si="371"/>
        <v>#REF!</v>
      </c>
      <c r="K116" s="888" t="e">
        <f t="shared" si="371"/>
        <v>#REF!</v>
      </c>
      <c r="L116" s="888" t="e">
        <f t="shared" si="371"/>
        <v>#REF!</v>
      </c>
      <c r="M116" s="888" t="e">
        <f t="shared" si="371"/>
        <v>#REF!</v>
      </c>
      <c r="N116" s="889" t="e">
        <f t="shared" si="371"/>
        <v>#REF!</v>
      </c>
      <c r="Q116" s="891">
        <f>SUM(Model!I33:N33)</f>
        <v>1077.1241192593325</v>
      </c>
      <c r="R116" s="892" t="e">
        <f>SUM(I116:N116)</f>
        <v>#REF!</v>
      </c>
      <c r="S116" s="33" t="e">
        <f>IF(ISBLANK(Model!I33),0,IF(Q116=R116,1,0))</f>
        <v>#REF!</v>
      </c>
    </row>
    <row r="117" s="4" customFormat="1" ht="15" customHeight="1" outlineLevel="1">
      <c r="B117" s="180" t="s">
        <v>171</v>
      </c>
      <c r="C117" s="414"/>
      <c r="D117" s="67"/>
      <c r="E117" s="67"/>
      <c r="F117" s="242">
        <f t="shared" ref="F117:N117" si="372">F114-F116</f>
        <v>11799</v>
      </c>
      <c r="G117" s="242">
        <f t="shared" si="372"/>
        <v>11352</v>
      </c>
      <c r="H117" s="242">
        <f t="shared" si="372"/>
        <v>12479</v>
      </c>
      <c r="I117" s="242" t="e">
        <f t="shared" si="372"/>
        <v>#REF!</v>
      </c>
      <c r="J117" s="242" t="e">
        <f t="shared" si="372"/>
        <v>#REF!</v>
      </c>
      <c r="K117" s="242" t="e">
        <f t="shared" si="372"/>
        <v>#REF!</v>
      </c>
      <c r="L117" s="242" t="e">
        <f t="shared" si="372"/>
        <v>#REF!</v>
      </c>
      <c r="M117" s="242" t="e">
        <f t="shared" si="372"/>
        <v>#REF!</v>
      </c>
      <c r="N117" s="417" t="e">
        <f t="shared" si="372"/>
        <v>#REF!</v>
      </c>
    </row>
    <row r="118" s="4" customFormat="1" ht="15" customHeight="1" outlineLevel="1">
      <c r="B118" s="180"/>
      <c r="C118" s="414"/>
      <c r="D118" s="67"/>
      <c r="E118" s="67"/>
      <c r="F118" s="242"/>
      <c r="G118" s="242"/>
      <c r="H118" s="242"/>
      <c r="I118" s="242"/>
      <c r="J118" s="242"/>
      <c r="K118" s="242"/>
      <c r="L118" s="242"/>
      <c r="M118" s="242"/>
      <c r="N118" s="417"/>
      <c r="Q118" s="39" t="s">
        <v>6</v>
      </c>
      <c r="R118" s="40" t="s">
        <v>7</v>
      </c>
      <c r="S118" s="41" t="s">
        <v>8</v>
      </c>
    </row>
    <row r="119" s="4" customFormat="1" ht="15" customHeight="1" outlineLevel="1">
      <c r="B119" s="284" t="s">
        <v>172</v>
      </c>
      <c r="C119" s="67"/>
      <c r="D119" s="67"/>
      <c r="E119" s="67"/>
      <c r="F119" s="410">
        <v>0</v>
      </c>
      <c r="G119" s="410">
        <v>0</v>
      </c>
      <c r="H119" s="410">
        <v>0</v>
      </c>
      <c r="I119" s="886">
        <f>Model!I363</f>
        <v>0</v>
      </c>
      <c r="J119" s="886">
        <f>Model!J363</f>
        <v>233.41219196297834</v>
      </c>
      <c r="K119" s="886">
        <f>Model!K363</f>
        <v>3125.0759343838781</v>
      </c>
      <c r="L119" s="886">
        <f>Model!L363</f>
        <v>3159.6575784935785</v>
      </c>
      <c r="M119" s="886">
        <f>Model!M363</f>
        <v>3280.7926047701635</v>
      </c>
      <c r="N119" s="890">
        <f>C101*Model!N34</f>
        <v>3369.1695610407014</v>
      </c>
      <c r="Q119" s="51">
        <f>SUM(Model!I36:N36)</f>
        <v>13168.1078706513</v>
      </c>
      <c r="R119" s="52">
        <f t="shared" ref="R119:R140" si="373">SUM(I119:N119)</f>
        <v>13168.1078706513</v>
      </c>
      <c r="S119" s="53">
        <f>IF(ISBLANK(Model!I36),0,IF(Q119=R119,1,0))</f>
        <v>1</v>
      </c>
    </row>
    <row r="120" s="4" customFormat="1" ht="15" customHeight="1" outlineLevel="1">
      <c r="B120" s="284" t="s">
        <v>173</v>
      </c>
      <c r="C120" s="67"/>
      <c r="D120" s="67"/>
      <c r="E120" s="67"/>
      <c r="F120" s="412">
        <v>3155</v>
      </c>
      <c r="G120" s="412">
        <v>2861</v>
      </c>
      <c r="H120" s="412">
        <v>3012</v>
      </c>
      <c r="I120" s="888">
        <f>Model!I364</f>
        <v>3561.8018596249999</v>
      </c>
      <c r="J120" s="888">
        <f>Model!J364</f>
        <v>3280.8675153749996</v>
      </c>
      <c r="K120" s="888">
        <f>Model!K364</f>
        <v>343.98240625000017</v>
      </c>
      <c r="L120" s="888">
        <f>Model!L364</f>
        <v>248.46238906249982</v>
      </c>
      <c r="M120" s="888">
        <f>Model!M364</f>
        <v>104.14537445312453</v>
      </c>
      <c r="N120" s="895">
        <v>0</v>
      </c>
      <c r="Q120" s="70">
        <f>SUM(Model!I37:N37)</f>
        <v>7539.259544765624</v>
      </c>
      <c r="R120" s="71">
        <f t="shared" si="373"/>
        <v>7539.259544765624</v>
      </c>
      <c r="S120" s="72">
        <f>IF(ISBLANK(Model!I37),0,IF(Q120=R120,1,0))</f>
        <v>1</v>
      </c>
    </row>
    <row r="121" s="4" customFormat="1" ht="15" customHeight="1" outlineLevel="1">
      <c r="B121" s="284" t="s">
        <v>174</v>
      </c>
      <c r="C121" s="67"/>
      <c r="D121" s="67"/>
      <c r="E121" s="67"/>
      <c r="F121" s="424">
        <f t="shared" ref="F121:N121" si="374">SUM(F119:F120)</f>
        <v>3155</v>
      </c>
      <c r="G121" s="424">
        <f t="shared" si="374"/>
        <v>2861</v>
      </c>
      <c r="H121" s="424">
        <f t="shared" si="374"/>
        <v>3012</v>
      </c>
      <c r="I121" s="424">
        <f t="shared" si="374"/>
        <v>3561.8018596249999</v>
      </c>
      <c r="J121" s="424">
        <f t="shared" si="374"/>
        <v>3514.2797073379779</v>
      </c>
      <c r="K121" s="424">
        <f t="shared" si="374"/>
        <v>3469.0583406338783</v>
      </c>
      <c r="L121" s="424">
        <f t="shared" si="374"/>
        <v>3408.1199675560783</v>
      </c>
      <c r="M121" s="424">
        <f t="shared" si="374"/>
        <v>3384.937979223288</v>
      </c>
      <c r="N121" s="425">
        <f t="shared" si="374"/>
        <v>3369.1695610407014</v>
      </c>
    </row>
    <row r="122" s="4" customFormat="1" ht="15" customHeight="1" outlineLevel="1">
      <c r="B122" s="284"/>
      <c r="C122" s="67"/>
      <c r="D122" s="67"/>
      <c r="E122" s="67"/>
      <c r="F122" s="422"/>
      <c r="G122" s="422"/>
      <c r="H122" s="422"/>
      <c r="I122" s="423"/>
      <c r="J122" s="423"/>
      <c r="K122" s="423"/>
      <c r="L122" s="423"/>
      <c r="M122" s="424"/>
      <c r="N122" s="425"/>
    </row>
    <row r="123" s="4" customFormat="1" ht="15" customHeight="1" outlineLevel="1">
      <c r="B123" s="180" t="s">
        <v>175</v>
      </c>
      <c r="C123" s="414"/>
      <c r="D123" s="67"/>
      <c r="E123" s="67"/>
      <c r="F123" s="896">
        <f t="shared" ref="F123:N123" si="375">F117-F121</f>
        <v>8644</v>
      </c>
      <c r="G123" s="896">
        <f t="shared" si="375"/>
        <v>8491</v>
      </c>
      <c r="H123" s="896">
        <f t="shared" si="375"/>
        <v>9467</v>
      </c>
      <c r="I123" s="896" t="e">
        <f t="shared" si="375"/>
        <v>#REF!</v>
      </c>
      <c r="J123" s="896" t="e">
        <f t="shared" si="375"/>
        <v>#REF!</v>
      </c>
      <c r="K123" s="896" t="e">
        <f t="shared" si="375"/>
        <v>#REF!</v>
      </c>
      <c r="L123" s="896" t="e">
        <f t="shared" si="375"/>
        <v>#REF!</v>
      </c>
      <c r="M123" s="896" t="e">
        <f t="shared" si="375"/>
        <v>#REF!</v>
      </c>
      <c r="N123" s="897" t="e">
        <f t="shared" si="375"/>
        <v>#REF!</v>
      </c>
      <c r="S123" s="870" t="e">
        <f>IF(SUM(S102:S120)=8,"COMPLETE","")</f>
        <v>#REF!</v>
      </c>
    </row>
    <row r="124" s="4" customFormat="1" ht="15" customHeight="1" outlineLevel="1">
      <c r="B124" s="414"/>
      <c r="C124" s="414"/>
      <c r="D124" s="67"/>
      <c r="E124" s="67"/>
      <c r="F124" s="429"/>
      <c r="G124" s="429"/>
      <c r="H124" s="429"/>
      <c r="I124" s="429"/>
      <c r="J124" s="429"/>
      <c r="K124" s="429"/>
      <c r="L124" s="429"/>
      <c r="M124" s="429"/>
      <c r="N124" s="430"/>
    </row>
    <row r="125" s="4" customFormat="1" ht="15" customHeight="1" outlineLevel="1">
      <c r="B125" s="431"/>
      <c r="C125" s="431"/>
      <c r="D125" s="432"/>
      <c r="E125" s="432"/>
      <c r="F125" s="433"/>
      <c r="G125" s="433"/>
      <c r="H125" s="433"/>
      <c r="I125" s="433"/>
      <c r="J125" s="433"/>
      <c r="K125" s="433"/>
      <c r="L125" s="433"/>
      <c r="M125" s="433"/>
      <c r="N125" s="433"/>
    </row>
    <row r="126" s="4" customFormat="1" ht="15" customHeight="1">
      <c r="B126" s="73"/>
      <c r="C126" s="67"/>
      <c r="D126" s="399"/>
      <c r="E126" s="67"/>
      <c r="F126" s="289"/>
      <c r="G126" s="289"/>
      <c r="H126" s="289"/>
      <c r="I126" s="289"/>
      <c r="J126" s="289"/>
      <c r="K126" s="289"/>
      <c r="L126" s="289"/>
      <c r="M126" s="289"/>
      <c r="N126" s="289"/>
      <c r="O126" s="59"/>
    </row>
    <row r="127" s="23" customFormat="1" ht="15" customHeight="1">
      <c r="A127" s="23" t="s">
        <v>0</v>
      </c>
      <c r="B127" s="6" t="s">
        <v>208</v>
      </c>
      <c r="C127" s="7"/>
      <c r="D127" s="459"/>
      <c r="E127" s="459"/>
      <c r="F127" s="9"/>
      <c r="G127" s="9"/>
      <c r="H127" s="9"/>
      <c r="I127" s="460"/>
      <c r="J127" s="461"/>
      <c r="K127" s="461"/>
      <c r="L127" s="461"/>
      <c r="M127" s="461"/>
      <c r="N127" s="401"/>
      <c r="O127" s="59"/>
    </row>
    <row r="128" s="23" customFormat="1" ht="15" customHeight="1" outlineLevel="1">
      <c r="B128" s="176"/>
      <c r="C128" s="12"/>
      <c r="D128" s="13"/>
      <c r="E128" s="13"/>
      <c r="F128" s="10"/>
      <c r="G128" s="10"/>
      <c r="H128" s="10"/>
      <c r="I128" s="10"/>
      <c r="J128" s="10"/>
      <c r="K128" s="10"/>
      <c r="L128" s="10"/>
      <c r="M128" s="10"/>
      <c r="O128" s="438"/>
    </row>
    <row r="129" s="23" customFormat="1" ht="15" customHeight="1" outlineLevel="1">
      <c r="B129" s="11" t="s">
        <v>3</v>
      </c>
      <c r="C129" s="12"/>
      <c r="D129" s="14"/>
      <c r="E129" s="14"/>
      <c r="F129" s="837">
        <f t="shared" ref="F129:M129" si="376">F$5</f>
        <v>2020</v>
      </c>
      <c r="G129" s="837">
        <f t="shared" si="376"/>
        <v>2021</v>
      </c>
      <c r="H129" s="837">
        <f t="shared" si="376"/>
        <v>2022</v>
      </c>
      <c r="I129" s="177">
        <f t="shared" si="376"/>
        <v>2023</v>
      </c>
      <c r="J129" s="177">
        <f t="shared" si="376"/>
        <v>2024</v>
      </c>
      <c r="K129" s="177">
        <f t="shared" si="376"/>
        <v>2025</v>
      </c>
      <c r="L129" s="177">
        <f t="shared" si="376"/>
        <v>2026</v>
      </c>
      <c r="M129" s="177">
        <f t="shared" si="376"/>
        <v>2027</v>
      </c>
      <c r="N129" s="177" t="s">
        <v>31</v>
      </c>
    </row>
    <row r="130" ht="15" customHeight="1" outlineLevel="1">
      <c r="A130" s="4"/>
      <c r="B130" s="11" t="str">
        <f>$B$6</f>
        <v xml:space="preserve">Model Running: Base Case Drivers</v>
      </c>
      <c r="C130" s="12"/>
      <c r="D130" s="14"/>
      <c r="E130" s="14"/>
      <c r="F130" s="14"/>
      <c r="G130" s="14"/>
      <c r="H130" s="14"/>
      <c r="I130" s="16"/>
      <c r="J130" s="16"/>
      <c r="K130" s="16"/>
      <c r="L130" s="16"/>
      <c r="M130" s="16"/>
      <c r="N130" s="16"/>
    </row>
    <row r="131" s="23" customFormat="1" ht="15" customHeight="1" outlineLevel="1">
      <c r="B131" s="11"/>
      <c r="C131" s="12"/>
      <c r="D131" s="14"/>
      <c r="E131" s="14"/>
      <c r="F131" s="14"/>
      <c r="G131" s="14"/>
      <c r="H131" s="14"/>
      <c r="O131" s="438"/>
    </row>
    <row r="132" s="4" customFormat="1" ht="15" customHeight="1" outlineLevel="1">
      <c r="B132" s="284" t="s">
        <v>129</v>
      </c>
      <c r="C132" s="67"/>
      <c r="D132" s="399"/>
      <c r="E132" s="67"/>
      <c r="F132" s="871">
        <f t="shared" ref="F132:N132" si="377">F$8</f>
        <v>365</v>
      </c>
      <c r="G132" s="855">
        <f t="shared" si="377"/>
        <v>365</v>
      </c>
      <c r="H132" s="855">
        <f t="shared" si="377"/>
        <v>365</v>
      </c>
      <c r="I132" s="855">
        <f t="shared" si="377"/>
        <v>365</v>
      </c>
      <c r="J132" s="855">
        <f t="shared" si="377"/>
        <v>365</v>
      </c>
      <c r="K132" s="855">
        <f t="shared" si="377"/>
        <v>365</v>
      </c>
      <c r="L132" s="855">
        <f t="shared" si="377"/>
        <v>365</v>
      </c>
      <c r="M132" s="855">
        <f t="shared" si="377"/>
        <v>365</v>
      </c>
      <c r="N132" s="838">
        <f t="shared" si="377"/>
        <v>365</v>
      </c>
      <c r="O132" s="59"/>
    </row>
    <row r="133" s="4" customFormat="1" ht="15" customHeight="1" outlineLevel="1">
      <c r="B133" s="284" t="s">
        <v>159</v>
      </c>
      <c r="C133" s="67"/>
      <c r="D133" s="67"/>
      <c r="E133" s="67"/>
      <c r="F133" s="898">
        <f t="shared" ref="F133:N134" si="378">F103</f>
        <v>51585</v>
      </c>
      <c r="G133" s="30">
        <f t="shared" si="378"/>
        <v>53494</v>
      </c>
      <c r="H133" s="30">
        <f t="shared" si="378"/>
        <v>55749</v>
      </c>
      <c r="I133" s="30" t="e">
        <f t="shared" si="378"/>
        <v>#REF!</v>
      </c>
      <c r="J133" s="30" t="e">
        <f t="shared" si="378"/>
        <v>#REF!</v>
      </c>
      <c r="K133" s="30" t="e">
        <f t="shared" si="378"/>
        <v>#REF!</v>
      </c>
      <c r="L133" s="30" t="e">
        <f t="shared" si="378"/>
        <v>#REF!</v>
      </c>
      <c r="M133" s="30" t="e">
        <f t="shared" si="378"/>
        <v>#REF!</v>
      </c>
      <c r="N133" s="899" t="e">
        <f t="shared" si="378"/>
        <v>#REF!</v>
      </c>
      <c r="O133" s="59"/>
    </row>
    <row r="134" s="4" customFormat="1" ht="15" customHeight="1" outlineLevel="1">
      <c r="B134" s="284" t="s">
        <v>161</v>
      </c>
      <c r="C134" s="67"/>
      <c r="D134" s="67"/>
      <c r="E134" s="67"/>
      <c r="F134" s="900">
        <f t="shared" si="378"/>
        <v>27697</v>
      </c>
      <c r="G134" s="545">
        <f t="shared" si="378"/>
        <v>28429</v>
      </c>
      <c r="H134" s="545">
        <f t="shared" si="378"/>
        <v>29200</v>
      </c>
      <c r="I134" s="545" t="e">
        <f t="shared" si="378"/>
        <v>#REF!</v>
      </c>
      <c r="J134" s="545" t="e">
        <f t="shared" si="378"/>
        <v>#REF!</v>
      </c>
      <c r="K134" s="545" t="e">
        <f t="shared" si="378"/>
        <v>#REF!</v>
      </c>
      <c r="L134" s="545" t="e">
        <f t="shared" si="378"/>
        <v>#REF!</v>
      </c>
      <c r="M134" s="545" t="e">
        <f t="shared" si="378"/>
        <v>#REF!</v>
      </c>
      <c r="N134" s="841" t="e">
        <f t="shared" si="378"/>
        <v>#REF!</v>
      </c>
      <c r="O134" s="59"/>
    </row>
    <row r="135" s="4" customFormat="1" ht="15" customHeight="1" outlineLevel="1">
      <c r="C135" s="414"/>
      <c r="D135" s="67"/>
      <c r="E135" s="67"/>
      <c r="F135" s="67"/>
      <c r="G135" s="67"/>
      <c r="H135" s="67"/>
      <c r="I135" s="289"/>
      <c r="J135" s="289"/>
      <c r="K135" s="289"/>
      <c r="L135" s="289"/>
      <c r="M135" s="289"/>
      <c r="N135" s="289"/>
      <c r="O135" s="438"/>
    </row>
    <row r="136" s="4" customFormat="1" ht="15" customHeight="1" outlineLevel="1">
      <c r="C136" s="414"/>
      <c r="D136" s="67"/>
      <c r="E136" s="67"/>
      <c r="F136" s="67"/>
      <c r="G136" s="67"/>
      <c r="H136" s="67"/>
      <c r="I136" s="289"/>
      <c r="J136" s="289"/>
      <c r="K136" s="289"/>
      <c r="L136" s="289"/>
      <c r="M136" s="289"/>
      <c r="N136" s="289"/>
      <c r="O136" s="438"/>
    </row>
    <row r="137" s="4" customFormat="1" ht="15" customHeight="1" outlineLevel="1">
      <c r="B137" s="61" t="s">
        <v>209</v>
      </c>
      <c r="C137" s="414"/>
      <c r="D137" s="67"/>
      <c r="E137" s="67"/>
      <c r="F137" s="67"/>
      <c r="G137" s="67"/>
      <c r="H137" s="67"/>
      <c r="I137" s="289"/>
      <c r="J137" s="289"/>
      <c r="K137" s="289"/>
      <c r="L137" s="289"/>
      <c r="M137" s="289"/>
      <c r="N137" s="289"/>
      <c r="O137" s="438"/>
      <c r="Q137" s="39" t="s">
        <v>6</v>
      </c>
      <c r="R137" s="40" t="s">
        <v>7</v>
      </c>
      <c r="S137" s="41" t="s">
        <v>8</v>
      </c>
    </row>
    <row r="138" s="4" customFormat="1" ht="15" customHeight="1" outlineLevel="1">
      <c r="B138" s="284" t="s">
        <v>38</v>
      </c>
      <c r="C138" s="67"/>
      <c r="D138" s="399" t="s">
        <v>39</v>
      </c>
      <c r="E138" s="399"/>
      <c r="F138" s="30">
        <f t="shared" ref="F138:H139" si="379">(F144/F133)*F$132</f>
        <v>40.388097315110983</v>
      </c>
      <c r="G138" s="30">
        <f t="shared" si="379"/>
        <v>43.211294724642016</v>
      </c>
      <c r="H138" s="30">
        <f t="shared" si="379"/>
        <v>43.368670290050048</v>
      </c>
      <c r="I138" s="901">
        <f>Inputs!G35</f>
        <v>45</v>
      </c>
      <c r="J138" s="901">
        <f>Inputs!H35</f>
        <v>45</v>
      </c>
      <c r="K138" s="901">
        <f>Inputs!I35</f>
        <v>45</v>
      </c>
      <c r="L138" s="901">
        <f>Inputs!J35</f>
        <v>45</v>
      </c>
      <c r="M138" s="902">
        <f>Inputs!K35</f>
        <v>45</v>
      </c>
      <c r="N138" s="903">
        <f>Inputs!L35</f>
        <v>45</v>
      </c>
      <c r="Q138" s="51">
        <f>SUM(Model!I134:N134)</f>
        <v>270</v>
      </c>
      <c r="R138" s="52">
        <f t="shared" si="373"/>
        <v>270</v>
      </c>
      <c r="S138" s="53">
        <f>IF(ISBLANK(Model!I134),0,IF(Q138=R138,1,0))</f>
        <v>1</v>
      </c>
    </row>
    <row r="139" s="4" customFormat="1" ht="15" customHeight="1" outlineLevel="1">
      <c r="B139" s="284" t="s">
        <v>40</v>
      </c>
      <c r="C139" s="67"/>
      <c r="D139" s="399" t="s">
        <v>39</v>
      </c>
      <c r="E139" s="399"/>
      <c r="F139" s="30">
        <f t="shared" si="379"/>
        <v>23.615554031122503</v>
      </c>
      <c r="G139" s="30">
        <f t="shared" si="379"/>
        <v>24.689401667311547</v>
      </c>
      <c r="H139" s="30">
        <f t="shared" si="379"/>
        <v>25.112500000000001</v>
      </c>
      <c r="I139" s="901">
        <f>Inputs!G36</f>
        <v>25</v>
      </c>
      <c r="J139" s="901">
        <f>Inputs!H36</f>
        <v>25</v>
      </c>
      <c r="K139" s="901">
        <f>Inputs!I36</f>
        <v>25</v>
      </c>
      <c r="L139" s="901">
        <f>Inputs!J36</f>
        <v>25</v>
      </c>
      <c r="M139" s="904">
        <f>Inputs!K36</f>
        <v>25</v>
      </c>
      <c r="N139" s="905">
        <f>Inputs!L36</f>
        <v>25</v>
      </c>
      <c r="Q139" s="51">
        <f>SUM(Model!I135:N135)</f>
        <v>150</v>
      </c>
      <c r="R139" s="52">
        <f t="shared" si="373"/>
        <v>150</v>
      </c>
      <c r="S139" s="53">
        <f>IF(ISBLANK(Model!I135),0,IF(Q139=R139,1,0))</f>
        <v>1</v>
      </c>
    </row>
    <row r="140" s="4" customFormat="1" ht="15" customHeight="1" outlineLevel="1">
      <c r="B140" s="284" t="s">
        <v>41</v>
      </c>
      <c r="C140" s="67"/>
      <c r="D140" s="399" t="s">
        <v>39</v>
      </c>
      <c r="E140" s="399"/>
      <c r="F140" s="30">
        <f>(F146/F134)*F$132</f>
        <v>39.851247427519226</v>
      </c>
      <c r="G140" s="30">
        <f>(G146/G134)*G$132</f>
        <v>41.149002778852577</v>
      </c>
      <c r="H140" s="30">
        <f>(H146/H134)*H$132</f>
        <v>41.487499999999997</v>
      </c>
      <c r="I140" s="901">
        <f>Inputs!G37</f>
        <v>40</v>
      </c>
      <c r="J140" s="901">
        <f>Inputs!H37</f>
        <v>40</v>
      </c>
      <c r="K140" s="901">
        <f>Inputs!I37</f>
        <v>40</v>
      </c>
      <c r="L140" s="901">
        <f>Inputs!J37</f>
        <v>40</v>
      </c>
      <c r="M140" s="906">
        <f>Inputs!K37</f>
        <v>40</v>
      </c>
      <c r="N140" s="907">
        <f>Inputs!L37</f>
        <v>40</v>
      </c>
      <c r="Q140" s="70">
        <f>SUM(Model!I136:N136)</f>
        <v>240</v>
      </c>
      <c r="R140" s="71">
        <f t="shared" si="373"/>
        <v>240</v>
      </c>
      <c r="S140" s="72">
        <f>IF(ISBLANK(Model!I136),0,IF(Q140=R140,1,0))</f>
        <v>1</v>
      </c>
    </row>
    <row r="141" s="4" customFormat="1" ht="15" customHeight="1" outlineLevel="1">
      <c r="C141" s="67"/>
      <c r="D141" s="469"/>
      <c r="E141" s="469"/>
      <c r="F141" s="470"/>
      <c r="G141" s="471"/>
      <c r="H141" s="471"/>
      <c r="I141" s="447"/>
      <c r="J141" s="447"/>
      <c r="K141" s="447"/>
      <c r="L141" s="447"/>
      <c r="M141" s="447"/>
      <c r="N141" s="447"/>
    </row>
    <row r="142" s="4" customFormat="1" ht="15" customHeight="1" outlineLevel="1">
      <c r="C142" s="67"/>
      <c r="D142" s="469"/>
      <c r="E142" s="469"/>
      <c r="F142" s="470"/>
      <c r="G142" s="471"/>
      <c r="H142" s="471"/>
      <c r="I142" s="447"/>
      <c r="J142" s="447"/>
      <c r="K142" s="447"/>
      <c r="L142" s="447"/>
      <c r="M142" s="447"/>
      <c r="N142" s="447"/>
    </row>
    <row r="143" s="4" customFormat="1" ht="15" customHeight="1" outlineLevel="1">
      <c r="B143" s="61" t="s">
        <v>210</v>
      </c>
      <c r="C143" s="414"/>
      <c r="D143" s="67"/>
      <c r="E143" s="67"/>
      <c r="F143" s="67"/>
      <c r="G143" s="67"/>
      <c r="H143" s="67"/>
      <c r="I143" s="289"/>
      <c r="J143" s="289"/>
      <c r="K143" s="289"/>
      <c r="L143" s="289"/>
      <c r="M143" s="289"/>
      <c r="N143" s="289"/>
      <c r="O143" s="438"/>
    </row>
    <row r="144" s="4" customFormat="1" ht="15" customHeight="1" outlineLevel="1">
      <c r="B144" s="284" t="s">
        <v>38</v>
      </c>
      <c r="C144" s="67"/>
      <c r="D144" s="67"/>
      <c r="E144" s="67"/>
      <c r="F144" s="400">
        <v>5708</v>
      </c>
      <c r="G144" s="400">
        <v>6333</v>
      </c>
      <c r="H144" s="400">
        <v>6624</v>
      </c>
      <c r="I144" s="30" t="e">
        <f t="shared" ref="I144:N145" si="380">(I138/I$132)*I133</f>
        <v>#REF!</v>
      </c>
      <c r="J144" s="30" t="e">
        <f t="shared" si="380"/>
        <v>#REF!</v>
      </c>
      <c r="K144" s="30" t="e">
        <f t="shared" si="380"/>
        <v>#REF!</v>
      </c>
      <c r="L144" s="30" t="e">
        <f t="shared" si="380"/>
        <v>#REF!</v>
      </c>
      <c r="M144" s="871" t="e">
        <f t="shared" si="380"/>
        <v>#REF!</v>
      </c>
      <c r="N144" s="838" t="e">
        <f t="shared" si="380"/>
        <v>#REF!</v>
      </c>
      <c r="O144" s="438"/>
    </row>
    <row r="145" s="4" customFormat="1" ht="15" customHeight="1" outlineLevel="1">
      <c r="B145" s="284" t="s">
        <v>40</v>
      </c>
      <c r="C145" s="67"/>
      <c r="D145" s="67"/>
      <c r="E145" s="67"/>
      <c r="F145" s="400">
        <v>1792</v>
      </c>
      <c r="G145" s="400">
        <v>1923</v>
      </c>
      <c r="H145" s="400">
        <v>2009</v>
      </c>
      <c r="I145" s="30" t="e">
        <f t="shared" si="380"/>
        <v>#REF!</v>
      </c>
      <c r="J145" s="30" t="e">
        <f t="shared" si="380"/>
        <v>#REF!</v>
      </c>
      <c r="K145" s="30" t="e">
        <f t="shared" si="380"/>
        <v>#REF!</v>
      </c>
      <c r="L145" s="30" t="e">
        <f t="shared" si="380"/>
        <v>#REF!</v>
      </c>
      <c r="M145" s="898" t="e">
        <f t="shared" si="380"/>
        <v>#REF!</v>
      </c>
      <c r="N145" s="899" t="e">
        <f t="shared" si="380"/>
        <v>#REF!</v>
      </c>
      <c r="O145" s="438"/>
    </row>
    <row r="146" s="4" customFormat="1" ht="15" customHeight="1" outlineLevel="1">
      <c r="B146" s="284" t="s">
        <v>41</v>
      </c>
      <c r="C146" s="67"/>
      <c r="D146" s="67"/>
      <c r="E146" s="67"/>
      <c r="F146" s="400">
        <v>3024</v>
      </c>
      <c r="G146" s="400">
        <v>3205</v>
      </c>
      <c r="H146" s="400">
        <v>3319</v>
      </c>
      <c r="I146" s="30" t="e">
        <f t="shared" ref="I146:N146" si="381">(I140/I$132)*I134</f>
        <v>#REF!</v>
      </c>
      <c r="J146" s="30" t="e">
        <f t="shared" si="381"/>
        <v>#REF!</v>
      </c>
      <c r="K146" s="30" t="e">
        <f t="shared" si="381"/>
        <v>#REF!</v>
      </c>
      <c r="L146" s="30" t="e">
        <f t="shared" si="381"/>
        <v>#REF!</v>
      </c>
      <c r="M146" s="900" t="e">
        <f t="shared" si="381"/>
        <v>#REF!</v>
      </c>
      <c r="N146" s="841" t="e">
        <f t="shared" si="381"/>
        <v>#REF!</v>
      </c>
      <c r="O146" s="438"/>
    </row>
    <row r="147" s="4" customFormat="1" ht="15" customHeight="1" outlineLevel="1">
      <c r="C147" s="414"/>
      <c r="D147" s="67"/>
      <c r="E147" s="67"/>
      <c r="F147" s="67"/>
      <c r="G147" s="67"/>
      <c r="H147" s="67"/>
      <c r="I147" s="289"/>
      <c r="J147" s="289"/>
      <c r="K147" s="289"/>
      <c r="L147" s="289"/>
      <c r="M147" s="289"/>
      <c r="N147" s="289"/>
      <c r="O147" s="438"/>
    </row>
    <row r="148" s="4" customFormat="1" ht="15" customHeight="1" outlineLevel="1">
      <c r="C148" s="414"/>
      <c r="D148" s="67"/>
      <c r="E148" s="67"/>
      <c r="F148" s="67"/>
      <c r="G148" s="67"/>
      <c r="H148" s="67"/>
      <c r="I148" s="289"/>
      <c r="J148" s="289"/>
      <c r="K148" s="289"/>
      <c r="L148" s="289"/>
      <c r="M148" s="289"/>
      <c r="N148" s="289"/>
      <c r="O148" s="438"/>
    </row>
    <row r="149" s="4" customFormat="1" ht="15" customHeight="1" outlineLevel="1">
      <c r="B149" s="61" t="s">
        <v>211</v>
      </c>
      <c r="C149" s="414"/>
      <c r="D149" s="67"/>
      <c r="E149" s="67"/>
      <c r="F149" s="67"/>
      <c r="G149" s="67"/>
      <c r="H149" s="67"/>
      <c r="I149" s="289"/>
      <c r="J149" s="289"/>
      <c r="K149" s="289"/>
      <c r="L149" s="289"/>
      <c r="M149" s="289"/>
      <c r="N149" s="289"/>
      <c r="O149" s="438"/>
    </row>
    <row r="150" s="4" customFormat="1" ht="15" customHeight="1" outlineLevel="1">
      <c r="B150" s="284" t="s">
        <v>212</v>
      </c>
      <c r="C150" s="67"/>
      <c r="D150" s="67"/>
      <c r="E150" s="67"/>
      <c r="F150" s="30">
        <f t="shared" ref="F150:N150" si="382">SUM(F144:F145)</f>
        <v>7500</v>
      </c>
      <c r="G150" s="30">
        <f t="shared" si="382"/>
        <v>8256</v>
      </c>
      <c r="H150" s="30">
        <f t="shared" si="382"/>
        <v>8633</v>
      </c>
      <c r="I150" s="30" t="e">
        <f t="shared" si="382"/>
        <v>#REF!</v>
      </c>
      <c r="J150" s="30" t="e">
        <f t="shared" si="382"/>
        <v>#REF!</v>
      </c>
      <c r="K150" s="30" t="e">
        <f t="shared" si="382"/>
        <v>#REF!</v>
      </c>
      <c r="L150" s="30" t="e">
        <f t="shared" si="382"/>
        <v>#REF!</v>
      </c>
      <c r="M150" s="871" t="e">
        <f t="shared" si="382"/>
        <v>#REF!</v>
      </c>
      <c r="N150" s="838" t="e">
        <f t="shared" si="382"/>
        <v>#REF!</v>
      </c>
      <c r="O150" s="438"/>
    </row>
    <row r="151" s="4" customFormat="1" ht="15" customHeight="1" outlineLevel="1">
      <c r="B151" s="284" t="s">
        <v>213</v>
      </c>
      <c r="C151" s="67"/>
      <c r="D151" s="67"/>
      <c r="E151" s="67"/>
      <c r="F151" s="545">
        <f t="shared" ref="F151:N151" si="383">SUM(F146)</f>
        <v>3024</v>
      </c>
      <c r="G151" s="545">
        <f t="shared" si="383"/>
        <v>3205</v>
      </c>
      <c r="H151" s="545">
        <f t="shared" si="383"/>
        <v>3319</v>
      </c>
      <c r="I151" s="545" t="e">
        <f t="shared" si="383"/>
        <v>#REF!</v>
      </c>
      <c r="J151" s="545" t="e">
        <f t="shared" si="383"/>
        <v>#REF!</v>
      </c>
      <c r="K151" s="545" t="e">
        <f t="shared" si="383"/>
        <v>#REF!</v>
      </c>
      <c r="L151" s="545" t="e">
        <f t="shared" si="383"/>
        <v>#REF!</v>
      </c>
      <c r="M151" s="900" t="e">
        <f t="shared" si="383"/>
        <v>#REF!</v>
      </c>
      <c r="N151" s="841" t="e">
        <f t="shared" si="383"/>
        <v>#REF!</v>
      </c>
      <c r="O151" s="438"/>
    </row>
    <row r="152" s="4" customFormat="1" ht="15" customHeight="1" outlineLevel="1">
      <c r="B152" s="284" t="s">
        <v>214</v>
      </c>
      <c r="C152" s="67"/>
      <c r="D152" s="67"/>
      <c r="E152" s="67"/>
      <c r="F152" s="30">
        <f t="shared" ref="F152:N152" si="384">F150-F151</f>
        <v>4476</v>
      </c>
      <c r="G152" s="30">
        <f t="shared" si="384"/>
        <v>5051</v>
      </c>
      <c r="H152" s="30">
        <f t="shared" si="384"/>
        <v>5314</v>
      </c>
      <c r="I152" s="30" t="e">
        <f t="shared" si="384"/>
        <v>#REF!</v>
      </c>
      <c r="J152" s="30" t="e">
        <f t="shared" si="384"/>
        <v>#REF!</v>
      </c>
      <c r="K152" s="30" t="e">
        <f t="shared" si="384"/>
        <v>#REF!</v>
      </c>
      <c r="L152" s="30" t="e">
        <f t="shared" si="384"/>
        <v>#REF!</v>
      </c>
      <c r="M152" s="900" t="e">
        <f t="shared" si="384"/>
        <v>#REF!</v>
      </c>
      <c r="N152" s="841" t="e">
        <f t="shared" si="384"/>
        <v>#REF!</v>
      </c>
      <c r="O152" s="438"/>
    </row>
    <row r="153" s="4" customFormat="1" ht="15" customHeight="1" outlineLevel="1">
      <c r="B153" s="61"/>
      <c r="C153" s="414"/>
      <c r="D153" s="67"/>
      <c r="E153" s="67"/>
      <c r="F153" s="67"/>
      <c r="G153" s="67"/>
      <c r="H153" s="67"/>
      <c r="I153" s="289"/>
      <c r="J153" s="289"/>
      <c r="K153" s="289"/>
      <c r="L153" s="289"/>
      <c r="M153" s="289"/>
      <c r="N153" s="289"/>
      <c r="O153" s="438"/>
    </row>
    <row r="154" s="4" customFormat="1" ht="15" customHeight="1" outlineLevel="1">
      <c r="B154" s="61"/>
      <c r="C154" s="414"/>
      <c r="D154" s="67"/>
      <c r="E154" s="67"/>
      <c r="F154" s="67"/>
      <c r="G154" s="67"/>
      <c r="H154" s="67"/>
      <c r="I154" s="289"/>
      <c r="J154" s="289"/>
      <c r="K154" s="289"/>
      <c r="L154" s="289"/>
      <c r="M154" s="289"/>
      <c r="N154" s="289"/>
      <c r="O154" s="438"/>
    </row>
    <row r="155" s="4" customFormat="1" ht="15" customHeight="1" outlineLevel="1">
      <c r="B155" s="180" t="s">
        <v>215</v>
      </c>
      <c r="C155" s="414"/>
      <c r="D155" s="414"/>
      <c r="E155" s="414"/>
      <c r="F155" s="414"/>
      <c r="G155" s="908">
        <f t="shared" ref="G155:N155" si="385">F152-G152</f>
        <v>-575</v>
      </c>
      <c r="H155" s="908">
        <f t="shared" si="385"/>
        <v>-263</v>
      </c>
      <c r="I155" s="908" t="e">
        <f t="shared" si="385"/>
        <v>#REF!</v>
      </c>
      <c r="J155" s="908" t="e">
        <f t="shared" si="385"/>
        <v>#REF!</v>
      </c>
      <c r="K155" s="908" t="e">
        <f t="shared" si="385"/>
        <v>#REF!</v>
      </c>
      <c r="L155" s="908" t="e">
        <f t="shared" si="385"/>
        <v>#REF!</v>
      </c>
      <c r="M155" s="908" t="e">
        <f t="shared" si="385"/>
        <v>#REF!</v>
      </c>
      <c r="N155" s="909" t="e">
        <f t="shared" si="385"/>
        <v>#REF!</v>
      </c>
      <c r="O155" s="438"/>
      <c r="S155" s="870" t="str">
        <f>IF(SUM(S137:S140)=3,"COMPLETE","")</f>
        <v>COMPLETE</v>
      </c>
    </row>
    <row r="156" s="4" customFormat="1" ht="15" customHeight="1" outlineLevel="1">
      <c r="C156" s="414"/>
      <c r="D156" s="414"/>
      <c r="E156" s="414"/>
      <c r="F156" s="414"/>
      <c r="G156" s="476"/>
      <c r="H156" s="476"/>
      <c r="I156" s="476"/>
      <c r="J156" s="476"/>
      <c r="K156" s="476"/>
      <c r="L156" s="476"/>
      <c r="M156" s="476"/>
      <c r="N156" s="476"/>
      <c r="O156" s="438"/>
    </row>
    <row r="157" s="4" customFormat="1" ht="15" customHeight="1" outlineLevel="1">
      <c r="C157" s="414"/>
      <c r="D157" s="414"/>
      <c r="E157" s="414"/>
      <c r="F157" s="414"/>
      <c r="G157" s="476"/>
      <c r="H157" s="476"/>
      <c r="I157" s="476"/>
      <c r="J157" s="476"/>
      <c r="K157" s="476"/>
      <c r="L157" s="476"/>
      <c r="M157" s="476"/>
      <c r="N157" s="476"/>
      <c r="O157" s="438"/>
    </row>
    <row r="158" s="23" customFormat="1" ht="15" customHeight="1" outlineLevel="1">
      <c r="C158" s="12"/>
      <c r="D158" s="14"/>
      <c r="E158" s="14"/>
      <c r="F158" s="14"/>
      <c r="G158" s="14"/>
      <c r="H158" s="14"/>
      <c r="I158" s="16"/>
      <c r="J158" s="16"/>
      <c r="K158" s="16"/>
      <c r="N158" s="132" t="s">
        <v>47</v>
      </c>
      <c r="O158" s="59"/>
    </row>
    <row r="159" s="4" customFormat="1" ht="15" customHeight="1" outlineLevel="1">
      <c r="B159" s="67"/>
      <c r="C159" s="67"/>
      <c r="D159" s="289"/>
      <c r="E159" s="289"/>
      <c r="F159" s="289"/>
      <c r="G159" s="289"/>
      <c r="H159" s="289"/>
      <c r="I159" s="289"/>
      <c r="J159" s="289"/>
      <c r="K159" s="289"/>
      <c r="L159" s="289"/>
      <c r="M159" s="67"/>
      <c r="O159" s="438"/>
    </row>
    <row r="160" s="4" customFormat="1" ht="15" customHeight="1" outlineLevel="1">
      <c r="B160" s="432"/>
      <c r="C160" s="432"/>
      <c r="D160" s="432"/>
      <c r="E160" s="432"/>
      <c r="F160" s="432"/>
      <c r="G160" s="432"/>
      <c r="H160" s="432"/>
      <c r="I160" s="432"/>
      <c r="J160" s="432"/>
      <c r="K160" s="432"/>
      <c r="L160" s="432"/>
      <c r="M160" s="432"/>
      <c r="N160" s="432"/>
      <c r="O160" s="438"/>
    </row>
    <row r="161" s="4" customFormat="1" ht="15" customHeight="1">
      <c r="B161" s="73"/>
      <c r="C161" s="67"/>
      <c r="D161" s="399"/>
      <c r="E161" s="67"/>
      <c r="F161" s="289"/>
      <c r="G161" s="289"/>
      <c r="H161" s="289"/>
      <c r="I161" s="289"/>
      <c r="J161" s="289"/>
      <c r="K161" s="289"/>
      <c r="L161" s="289"/>
      <c r="M161" s="289"/>
      <c r="N161" s="289"/>
      <c r="O161" s="59"/>
    </row>
    <row r="162" s="23" customFormat="1" ht="15" customHeight="1">
      <c r="A162" s="23" t="s">
        <v>0</v>
      </c>
      <c r="B162" s="478" t="s">
        <v>216</v>
      </c>
      <c r="C162" s="7"/>
      <c r="D162" s="459"/>
      <c r="E162" s="459"/>
      <c r="F162" s="9"/>
      <c r="G162" s="9"/>
      <c r="H162" s="9"/>
      <c r="I162" s="460"/>
      <c r="J162" s="461"/>
      <c r="K162" s="461"/>
      <c r="L162" s="461"/>
      <c r="M162" s="461"/>
      <c r="N162" s="401"/>
    </row>
    <row r="163" s="23" customFormat="1" ht="15" customHeight="1" outlineLevel="1">
      <c r="B163" s="176"/>
      <c r="C163" s="12"/>
      <c r="D163" s="13"/>
      <c r="E163" s="13"/>
      <c r="F163" s="10"/>
      <c r="G163" s="10"/>
      <c r="H163" s="10"/>
      <c r="I163" s="10"/>
      <c r="J163" s="10"/>
      <c r="K163" s="10"/>
      <c r="L163" s="10"/>
      <c r="M163" s="10"/>
    </row>
    <row r="164" s="23" customFormat="1" ht="15" customHeight="1" outlineLevel="1">
      <c r="B164" s="11" t="s">
        <v>3</v>
      </c>
      <c r="C164" s="12"/>
      <c r="D164" s="14"/>
      <c r="E164" s="14"/>
      <c r="F164" s="837">
        <f t="shared" ref="F164:M164" si="386">F$5</f>
        <v>2020</v>
      </c>
      <c r="G164" s="837">
        <f t="shared" si="386"/>
        <v>2021</v>
      </c>
      <c r="H164" s="837">
        <f t="shared" si="386"/>
        <v>2022</v>
      </c>
      <c r="I164" s="177">
        <f t="shared" si="386"/>
        <v>2023</v>
      </c>
      <c r="J164" s="177">
        <f t="shared" si="386"/>
        <v>2024</v>
      </c>
      <c r="K164" s="177">
        <f t="shared" si="386"/>
        <v>2025</v>
      </c>
      <c r="L164" s="177">
        <f t="shared" si="386"/>
        <v>2026</v>
      </c>
      <c r="M164" s="177">
        <f t="shared" si="386"/>
        <v>2027</v>
      </c>
    </row>
    <row r="165" ht="15" customHeight="1" outlineLevel="1">
      <c r="A165" s="4"/>
      <c r="B165" s="11" t="str">
        <f>$B$6</f>
        <v xml:space="preserve">Model Running: Base Case Drivers</v>
      </c>
      <c r="C165" s="12"/>
      <c r="D165" s="14"/>
      <c r="E165" s="14"/>
      <c r="F165" s="14"/>
      <c r="G165" s="14"/>
      <c r="H165" s="14"/>
      <c r="I165" s="16"/>
      <c r="J165" s="16"/>
      <c r="K165" s="16"/>
      <c r="L165" s="16"/>
      <c r="M165" s="16"/>
      <c r="N165" s="16"/>
    </row>
    <row r="166" s="23" customFormat="1" ht="15" customHeight="1" outlineLevel="1">
      <c r="B166" s="11"/>
      <c r="C166" s="12"/>
      <c r="D166" s="14"/>
      <c r="E166" s="14"/>
      <c r="F166" s="14"/>
      <c r="G166" s="14"/>
      <c r="H166" s="479"/>
      <c r="I166" s="479"/>
      <c r="J166" s="479"/>
      <c r="K166" s="479"/>
      <c r="L166" s="479"/>
      <c r="M166" s="479"/>
      <c r="Q166" s="25" t="s">
        <v>6</v>
      </c>
      <c r="R166" s="26" t="s">
        <v>7</v>
      </c>
      <c r="S166" s="27" t="s">
        <v>8</v>
      </c>
    </row>
    <row r="167" s="23" customFormat="1" ht="15" customHeight="1" outlineLevel="1">
      <c r="B167" s="480" t="s">
        <v>217</v>
      </c>
      <c r="C167" s="12"/>
      <c r="D167" s="14"/>
      <c r="E167" s="14"/>
      <c r="F167" s="392">
        <v>4982</v>
      </c>
      <c r="G167" s="393">
        <v>5199</v>
      </c>
      <c r="H167" s="393">
        <v>4400</v>
      </c>
      <c r="I167" s="910">
        <f>Inputs!G24</f>
        <v>10000</v>
      </c>
      <c r="J167" s="910">
        <f>Inputs!H24</f>
        <v>8000</v>
      </c>
      <c r="K167" s="910">
        <f>Inputs!I24</f>
        <v>9000</v>
      </c>
      <c r="L167" s="910">
        <f>Inputs!J24</f>
        <v>5000</v>
      </c>
      <c r="M167" s="911">
        <f>Inputs!K24</f>
        <v>5000</v>
      </c>
      <c r="Q167" s="891">
        <f>SUM(Model!I163:M163)</f>
        <v>37000</v>
      </c>
      <c r="R167" s="892">
        <f>SUM(Inputs!G24:K24)</f>
        <v>37000</v>
      </c>
      <c r="S167" s="33">
        <f>IF(ISBLANK(Model!I163),0,IF(Q167=R167,1,0))</f>
        <v>1</v>
      </c>
    </row>
    <row r="168" s="23" customFormat="1" ht="15" customHeight="1" outlineLevel="1">
      <c r="B168" s="481"/>
      <c r="C168" s="12"/>
      <c r="D168" s="14"/>
      <c r="E168" s="14"/>
      <c r="F168" s="400"/>
      <c r="G168" s="400"/>
      <c r="H168" s="400"/>
      <c r="I168" s="30"/>
      <c r="J168" s="30"/>
      <c r="K168" s="30"/>
      <c r="L168" s="30"/>
      <c r="M168" s="30"/>
    </row>
    <row r="169" s="23" customFormat="1" ht="15" customHeight="1" outlineLevel="1">
      <c r="B169" s="11"/>
      <c r="C169" s="12"/>
      <c r="D169" s="14"/>
      <c r="E169" s="14"/>
      <c r="F169" s="14"/>
      <c r="G169" s="14"/>
      <c r="H169" s="14"/>
      <c r="I169" s="16"/>
      <c r="J169" s="16"/>
      <c r="K169" s="16"/>
      <c r="L169" s="16"/>
      <c r="M169" s="16"/>
    </row>
    <row r="170" s="23" customFormat="1" ht="15" customHeight="1" outlineLevel="1">
      <c r="B170" s="241" t="s">
        <v>218</v>
      </c>
      <c r="D170" s="482" t="s">
        <v>219</v>
      </c>
      <c r="E170" s="14"/>
      <c r="F170" s="14"/>
      <c r="G170" s="14"/>
      <c r="H170" s="14"/>
      <c r="I170" s="483" t="s">
        <v>220</v>
      </c>
      <c r="J170" s="484"/>
      <c r="K170" s="484"/>
      <c r="L170" s="484"/>
      <c r="M170" s="485"/>
    </row>
    <row r="171" s="23" customFormat="1" ht="15" customHeight="1" outlineLevel="1">
      <c r="B171" s="390" t="s">
        <v>134</v>
      </c>
      <c r="C171" s="486"/>
      <c r="D171" s="912">
        <f>Inputs!L115</f>
        <v>16</v>
      </c>
      <c r="E171" s="14"/>
      <c r="F171" s="488"/>
      <c r="G171" s="14"/>
      <c r="H171" s="14"/>
      <c r="I171" s="489">
        <v>1</v>
      </c>
      <c r="J171" s="489">
        <f>I171+1</f>
        <v>2</v>
      </c>
      <c r="K171" s="489">
        <f>J171+1</f>
        <v>3</v>
      </c>
      <c r="L171" s="489">
        <f>K171+1</f>
        <v>4</v>
      </c>
      <c r="M171" s="489">
        <f>L171+1</f>
        <v>5</v>
      </c>
    </row>
    <row r="172" s="23" customFormat="1" ht="15" customHeight="1" outlineLevel="1">
      <c r="B172" s="408" t="str">
        <f>CONCATENATE("PP&amp;E at End of ",H164)</f>
        <v xml:space="preserve">PP&amp;E at End of 2022</v>
      </c>
      <c r="C172" s="492"/>
      <c r="D172" s="913">
        <f>Inputs!L103</f>
        <v>75407</v>
      </c>
      <c r="E172" s="14"/>
      <c r="F172" s="488"/>
      <c r="G172" s="14"/>
      <c r="H172" s="494"/>
      <c r="I172" s="914">
        <f>MIN($D171-SUM($H172:H172),1)</f>
        <v>1</v>
      </c>
      <c r="J172" s="914">
        <f>MIN($D171-SUM($H172:I172),1)</f>
        <v>1</v>
      </c>
      <c r="K172" s="914">
        <f>MIN($D171-SUM($H172:J172),1)</f>
        <v>1</v>
      </c>
      <c r="L172" s="914">
        <f>MIN($D171-SUM($H172:K172),1)</f>
        <v>1</v>
      </c>
      <c r="M172" s="915">
        <f>MIN($D171-SUM($H172:L172),1)</f>
        <v>1</v>
      </c>
      <c r="O172" s="448"/>
    </row>
    <row r="173" s="23" customFormat="1" ht="15" customHeight="1" outlineLevel="1">
      <c r="B173" s="73"/>
      <c r="C173" s="497"/>
      <c r="D173" s="498"/>
      <c r="E173" s="14"/>
      <c r="F173" s="14"/>
      <c r="G173" s="14"/>
      <c r="H173" s="14"/>
      <c r="I173" s="499"/>
      <c r="J173" s="499"/>
      <c r="K173" s="499"/>
      <c r="L173" s="499"/>
      <c r="M173" s="499"/>
    </row>
    <row r="174" s="23" customFormat="1" ht="15" customHeight="1" outlineLevel="1">
      <c r="B174" s="500"/>
      <c r="C174" s="281"/>
      <c r="D174" s="501"/>
      <c r="E174" s="501"/>
      <c r="F174" s="501"/>
      <c r="G174" s="501"/>
      <c r="H174" s="501"/>
      <c r="I174" s="502"/>
      <c r="J174" s="502"/>
      <c r="K174" s="502"/>
      <c r="L174" s="502"/>
      <c r="M174" s="502"/>
    </row>
    <row r="175" s="23" customFormat="1" ht="15" customHeight="1" outlineLevel="1">
      <c r="B175" s="11"/>
      <c r="C175" s="12"/>
      <c r="D175" s="14"/>
      <c r="E175" s="14"/>
      <c r="F175" s="14"/>
      <c r="G175" s="14"/>
      <c r="H175" s="14"/>
      <c r="I175" s="16"/>
      <c r="J175" s="16"/>
      <c r="K175" s="16"/>
      <c r="L175" s="16"/>
      <c r="M175" s="16"/>
    </row>
    <row r="176" s="23" customFormat="1" ht="15" customHeight="1" outlineLevel="1">
      <c r="B176" s="241" t="s">
        <v>222</v>
      </c>
      <c r="D176" s="482" t="s">
        <v>219</v>
      </c>
      <c r="E176" s="14"/>
      <c r="F176" s="14"/>
      <c r="G176" s="14"/>
      <c r="H176" s="14"/>
      <c r="I176" s="483" t="s">
        <v>220</v>
      </c>
      <c r="J176" s="484"/>
      <c r="K176" s="484"/>
      <c r="L176" s="484"/>
      <c r="M176" s="485"/>
    </row>
    <row r="177" s="23" customFormat="1" ht="15" customHeight="1" outlineLevel="1">
      <c r="B177" s="390" t="s">
        <v>137</v>
      </c>
      <c r="C177" s="486"/>
      <c r="D177" s="912">
        <f>Inputs!L116</f>
        <v>20</v>
      </c>
      <c r="E177" s="14"/>
      <c r="F177" s="14"/>
      <c r="G177" s="14"/>
      <c r="H177" s="14"/>
      <c r="I177" s="503">
        <v>1</v>
      </c>
      <c r="J177" s="503">
        <f>I177+1</f>
        <v>2</v>
      </c>
      <c r="K177" s="503">
        <f>J177+1</f>
        <v>3</v>
      </c>
      <c r="L177" s="503">
        <f>K177+1</f>
        <v>4</v>
      </c>
      <c r="M177" s="503">
        <f>L177+1</f>
        <v>5</v>
      </c>
    </row>
    <row r="178" s="23" customFormat="1" ht="15" customHeight="1" outlineLevel="1">
      <c r="B178" s="408" t="s">
        <v>133</v>
      </c>
      <c r="C178" s="492"/>
      <c r="D178" s="916">
        <f>Inputs!L114</f>
        <v>0.5</v>
      </c>
      <c r="E178" s="14"/>
      <c r="F178" s="14"/>
      <c r="G178" s="14"/>
      <c r="H178" s="14"/>
      <c r="I178" s="917">
        <f>IF(H178="",$D$178,MIN($D177-SUM($H178:H178),1))</f>
        <v>0.5</v>
      </c>
      <c r="J178" s="918">
        <f>IF(I178="",$D$178,MIN($D177-SUM($H178:I178),1))</f>
        <v>1</v>
      </c>
      <c r="K178" s="918">
        <f>IF(J178="",$D$178,MIN($D177-SUM($H178:J178),1))</f>
        <v>1</v>
      </c>
      <c r="L178" s="918">
        <f>IF(K178="",$D$178,MIN($D177-SUM($H178:K178),1))</f>
        <v>1</v>
      </c>
      <c r="M178" s="916">
        <f>IF(L178="",$D$178,MIN($D177-SUM($H178:L178),1))</f>
        <v>1</v>
      </c>
    </row>
    <row r="179" s="23" customFormat="1" ht="15" customHeight="1" outlineLevel="1">
      <c r="B179" s="73"/>
      <c r="D179" s="508"/>
      <c r="E179" s="14"/>
      <c r="F179" s="14"/>
      <c r="G179" s="14"/>
      <c r="H179" s="14"/>
      <c r="I179" s="499"/>
      <c r="J179" s="499"/>
      <c r="K179" s="499"/>
      <c r="L179" s="499"/>
      <c r="M179" s="499"/>
    </row>
    <row r="180" s="23" customFormat="1" ht="15" customHeight="1" outlineLevel="1">
      <c r="B180" s="11"/>
      <c r="C180" s="12"/>
      <c r="D180" s="14"/>
      <c r="E180" s="14"/>
      <c r="F180" s="14"/>
      <c r="G180" s="14"/>
      <c r="H180" s="14"/>
      <c r="I180" s="483" t="s">
        <v>220</v>
      </c>
      <c r="J180" s="484"/>
      <c r="K180" s="484"/>
      <c r="L180" s="484"/>
      <c r="M180" s="485"/>
      <c r="O180" s="452"/>
    </row>
    <row r="181" s="23" customFormat="1" ht="15" customHeight="1" outlineLevel="1">
      <c r="D181" s="61"/>
      <c r="F181" s="61" t="s">
        <v>223</v>
      </c>
      <c r="G181" s="61" t="s">
        <v>224</v>
      </c>
      <c r="H181" s="14"/>
      <c r="I181" s="491">
        <f>I$164</f>
        <v>2023</v>
      </c>
      <c r="J181" s="491">
        <f>J$164</f>
        <v>2024</v>
      </c>
      <c r="K181" s="491">
        <f>K$164</f>
        <v>2025</v>
      </c>
      <c r="L181" s="491">
        <f>L$164</f>
        <v>2026</v>
      </c>
      <c r="M181" s="491">
        <f>M$164</f>
        <v>2027</v>
      </c>
    </row>
    <row r="182" s="23" customFormat="1" ht="15" customHeight="1" outlineLevel="1">
      <c r="B182" s="11"/>
      <c r="D182" s="61"/>
      <c r="F182" s="919">
        <f>I164</f>
        <v>2023</v>
      </c>
      <c r="G182" s="920">
        <f t="shared" ref="G182:G186" si="387">$D$177</f>
        <v>20</v>
      </c>
      <c r="H182" s="512"/>
      <c r="I182" s="921">
        <f>I178</f>
        <v>0.5</v>
      </c>
      <c r="J182" s="921">
        <f>J178</f>
        <v>1</v>
      </c>
      <c r="K182" s="921">
        <f>K178</f>
        <v>1</v>
      </c>
      <c r="L182" s="921">
        <f>L178</f>
        <v>1</v>
      </c>
      <c r="M182" s="922">
        <f>M178</f>
        <v>1</v>
      </c>
    </row>
    <row r="183" s="23" customFormat="1" ht="15" customHeight="1" outlineLevel="1">
      <c r="B183" s="11"/>
      <c r="D183" s="61"/>
      <c r="F183" s="923">
        <f t="shared" ref="F183:F186" si="388">F182+1</f>
        <v>2024</v>
      </c>
      <c r="G183" s="924">
        <f t="shared" si="387"/>
        <v>20</v>
      </c>
      <c r="H183" s="517"/>
      <c r="I183" s="925">
        <f t="shared" ref="I183:M186" si="389">H182</f>
        <v>0</v>
      </c>
      <c r="J183" s="925">
        <f t="shared" si="389"/>
        <v>0.5</v>
      </c>
      <c r="K183" s="925">
        <f t="shared" si="389"/>
        <v>1</v>
      </c>
      <c r="L183" s="925">
        <f t="shared" si="389"/>
        <v>1</v>
      </c>
      <c r="M183" s="926">
        <f t="shared" si="389"/>
        <v>1</v>
      </c>
    </row>
    <row r="184" s="23" customFormat="1" ht="15" customHeight="1" outlineLevel="1">
      <c r="B184" s="11"/>
      <c r="D184" s="61"/>
      <c r="F184" s="923">
        <f t="shared" si="388"/>
        <v>2025</v>
      </c>
      <c r="G184" s="924">
        <f t="shared" si="387"/>
        <v>20</v>
      </c>
      <c r="H184" s="517"/>
      <c r="I184" s="925">
        <f t="shared" si="389"/>
        <v>0</v>
      </c>
      <c r="J184" s="925">
        <f t="shared" si="389"/>
        <v>0</v>
      </c>
      <c r="K184" s="925">
        <f t="shared" si="389"/>
        <v>0.5</v>
      </c>
      <c r="L184" s="925">
        <f t="shared" si="389"/>
        <v>1</v>
      </c>
      <c r="M184" s="926">
        <f t="shared" si="389"/>
        <v>1</v>
      </c>
    </row>
    <row r="185" s="23" customFormat="1" ht="15" customHeight="1" outlineLevel="1">
      <c r="B185" s="11"/>
      <c r="D185" s="61"/>
      <c r="F185" s="923">
        <f t="shared" si="388"/>
        <v>2026</v>
      </c>
      <c r="G185" s="924">
        <f t="shared" si="387"/>
        <v>20</v>
      </c>
      <c r="H185" s="517"/>
      <c r="I185" s="925">
        <f t="shared" si="389"/>
        <v>0</v>
      </c>
      <c r="J185" s="925">
        <f t="shared" si="389"/>
        <v>0</v>
      </c>
      <c r="K185" s="925">
        <f t="shared" si="389"/>
        <v>0</v>
      </c>
      <c r="L185" s="925">
        <f t="shared" si="389"/>
        <v>0.5</v>
      </c>
      <c r="M185" s="926">
        <f t="shared" si="389"/>
        <v>1</v>
      </c>
    </row>
    <row r="186" s="23" customFormat="1" ht="15" customHeight="1" outlineLevel="1">
      <c r="B186" s="11"/>
      <c r="D186" s="61"/>
      <c r="F186" s="524">
        <f t="shared" si="388"/>
        <v>2027</v>
      </c>
      <c r="G186" s="927">
        <f t="shared" si="387"/>
        <v>20</v>
      </c>
      <c r="H186" s="521"/>
      <c r="I186" s="928">
        <f t="shared" si="389"/>
        <v>0</v>
      </c>
      <c r="J186" s="928">
        <f t="shared" si="389"/>
        <v>0</v>
      </c>
      <c r="K186" s="928">
        <f t="shared" si="389"/>
        <v>0</v>
      </c>
      <c r="L186" s="928">
        <f t="shared" si="389"/>
        <v>0</v>
      </c>
      <c r="M186" s="929">
        <f t="shared" si="389"/>
        <v>0.5</v>
      </c>
    </row>
    <row r="187" s="23" customFormat="1" ht="15" customHeight="1" outlineLevel="1">
      <c r="B187" s="11"/>
      <c r="C187" s="12"/>
      <c r="D187" s="61"/>
      <c r="E187" s="14"/>
      <c r="F187" s="14"/>
      <c r="G187" s="14"/>
      <c r="H187" s="14"/>
      <c r="I187" s="16"/>
      <c r="J187" s="16"/>
      <c r="K187" s="16"/>
      <c r="L187" s="16"/>
      <c r="M187" s="16"/>
      <c r="O187" s="438"/>
    </row>
    <row r="188" s="23" customFormat="1" ht="15" customHeight="1" outlineLevel="1">
      <c r="B188" s="11"/>
      <c r="C188" s="12"/>
      <c r="D188" s="14"/>
      <c r="E188" s="14"/>
      <c r="F188" s="14"/>
      <c r="G188" s="14"/>
      <c r="H188" s="14"/>
      <c r="I188" s="483" t="s">
        <v>225</v>
      </c>
      <c r="J188" s="484"/>
      <c r="K188" s="484"/>
      <c r="L188" s="484"/>
      <c r="M188" s="485"/>
      <c r="O188" s="438"/>
    </row>
    <row r="189" s="23" customFormat="1" ht="15" customHeight="1" outlineLevel="1">
      <c r="E189" s="14"/>
      <c r="F189" s="61" t="s">
        <v>223</v>
      </c>
      <c r="G189" s="61" t="s">
        <v>226</v>
      </c>
      <c r="H189" s="61" t="s">
        <v>227</v>
      </c>
      <c r="I189" s="491">
        <f>I$164</f>
        <v>2023</v>
      </c>
      <c r="J189" s="491">
        <f>J$164</f>
        <v>2024</v>
      </c>
      <c r="K189" s="491">
        <f>K$164</f>
        <v>2025</v>
      </c>
      <c r="L189" s="491">
        <f>L$164</f>
        <v>2026</v>
      </c>
      <c r="M189" s="491">
        <f>M$164</f>
        <v>2027</v>
      </c>
      <c r="O189" s="438"/>
    </row>
    <row r="190" s="23" customFormat="1" ht="15" customHeight="1" outlineLevel="1">
      <c r="B190" s="11"/>
      <c r="E190" s="14"/>
      <c r="F190" s="919">
        <f t="shared" ref="F190:F194" si="390">F182</f>
        <v>2023</v>
      </c>
      <c r="G190" s="930">
        <f t="shared" ref="G190:G194" si="391">SUMIF($I$164:$M$164,F190,$I$167:$M$167)</f>
        <v>10000</v>
      </c>
      <c r="H190" s="931">
        <f t="shared" ref="H190:H194" si="392">G190/G182</f>
        <v>500</v>
      </c>
      <c r="I190" s="932">
        <f t="shared" ref="I190:M194" si="393">$H190*I182</f>
        <v>250</v>
      </c>
      <c r="J190" s="932">
        <f t="shared" si="393"/>
        <v>500</v>
      </c>
      <c r="K190" s="932">
        <f t="shared" si="393"/>
        <v>500</v>
      </c>
      <c r="L190" s="932">
        <f t="shared" si="393"/>
        <v>500</v>
      </c>
      <c r="M190" s="933">
        <f t="shared" si="393"/>
        <v>500</v>
      </c>
    </row>
    <row r="191" s="23" customFormat="1" ht="15" customHeight="1" outlineLevel="1">
      <c r="B191" s="11"/>
      <c r="E191" s="14"/>
      <c r="F191" s="923">
        <f t="shared" si="390"/>
        <v>2024</v>
      </c>
      <c r="G191" s="934">
        <f t="shared" si="391"/>
        <v>8000</v>
      </c>
      <c r="H191" s="935">
        <f t="shared" si="392"/>
        <v>400</v>
      </c>
      <c r="I191" s="424">
        <f t="shared" si="393"/>
        <v>0</v>
      </c>
      <c r="J191" s="424">
        <f t="shared" si="393"/>
        <v>200</v>
      </c>
      <c r="K191" s="424">
        <f t="shared" si="393"/>
        <v>400</v>
      </c>
      <c r="L191" s="424">
        <f t="shared" si="393"/>
        <v>400</v>
      </c>
      <c r="M191" s="936">
        <f t="shared" si="393"/>
        <v>400</v>
      </c>
    </row>
    <row r="192" s="23" customFormat="1" ht="15" customHeight="1" outlineLevel="1">
      <c r="B192" s="11"/>
      <c r="E192" s="14"/>
      <c r="F192" s="923">
        <f t="shared" si="390"/>
        <v>2025</v>
      </c>
      <c r="G192" s="934">
        <f t="shared" si="391"/>
        <v>9000</v>
      </c>
      <c r="H192" s="935">
        <f t="shared" si="392"/>
        <v>450</v>
      </c>
      <c r="I192" s="424">
        <f t="shared" si="393"/>
        <v>0</v>
      </c>
      <c r="J192" s="424">
        <f t="shared" si="393"/>
        <v>0</v>
      </c>
      <c r="K192" s="424">
        <f t="shared" si="393"/>
        <v>225</v>
      </c>
      <c r="L192" s="424">
        <f t="shared" si="393"/>
        <v>450</v>
      </c>
      <c r="M192" s="936">
        <f t="shared" si="393"/>
        <v>450</v>
      </c>
    </row>
    <row r="193" s="23" customFormat="1" ht="15" customHeight="1" outlineLevel="1">
      <c r="B193" s="11"/>
      <c r="E193" s="14"/>
      <c r="F193" s="923">
        <f t="shared" si="390"/>
        <v>2026</v>
      </c>
      <c r="G193" s="934">
        <f t="shared" si="391"/>
        <v>5000</v>
      </c>
      <c r="H193" s="935">
        <f t="shared" si="392"/>
        <v>250</v>
      </c>
      <c r="I193" s="424">
        <f t="shared" si="393"/>
        <v>0</v>
      </c>
      <c r="J193" s="424">
        <f t="shared" si="393"/>
        <v>0</v>
      </c>
      <c r="K193" s="424">
        <f t="shared" si="393"/>
        <v>0</v>
      </c>
      <c r="L193" s="424">
        <f t="shared" si="393"/>
        <v>125</v>
      </c>
      <c r="M193" s="936">
        <f t="shared" si="393"/>
        <v>250</v>
      </c>
    </row>
    <row r="194" s="23" customFormat="1" ht="15" customHeight="1" outlineLevel="1">
      <c r="B194" s="11"/>
      <c r="E194" s="14"/>
      <c r="F194" s="524">
        <f t="shared" si="390"/>
        <v>2027</v>
      </c>
      <c r="G194" s="937">
        <f t="shared" si="391"/>
        <v>5000</v>
      </c>
      <c r="H194" s="938">
        <f t="shared" si="392"/>
        <v>250</v>
      </c>
      <c r="I194" s="939">
        <f t="shared" si="393"/>
        <v>0</v>
      </c>
      <c r="J194" s="939">
        <f t="shared" si="393"/>
        <v>0</v>
      </c>
      <c r="K194" s="939">
        <f t="shared" si="393"/>
        <v>0</v>
      </c>
      <c r="L194" s="939">
        <f t="shared" si="393"/>
        <v>0</v>
      </c>
      <c r="M194" s="913">
        <f t="shared" si="393"/>
        <v>125</v>
      </c>
    </row>
    <row r="195" s="23" customFormat="1" ht="15" customHeight="1" outlineLevel="1">
      <c r="B195" s="500"/>
      <c r="C195" s="281"/>
      <c r="D195" s="501"/>
      <c r="E195" s="501"/>
      <c r="F195" s="501"/>
      <c r="G195" s="501"/>
      <c r="H195" s="501"/>
      <c r="I195" s="502"/>
      <c r="J195" s="502"/>
      <c r="K195" s="502"/>
      <c r="L195" s="502"/>
      <c r="M195" s="502"/>
      <c r="O195" s="438"/>
    </row>
    <row r="196" s="23" customFormat="1" ht="15" customHeight="1" outlineLevel="1">
      <c r="B196" s="11"/>
      <c r="C196" s="12"/>
      <c r="D196" s="14"/>
      <c r="E196" s="14"/>
      <c r="F196" s="14"/>
      <c r="G196" s="14"/>
      <c r="H196" s="14"/>
      <c r="I196" s="16"/>
      <c r="J196" s="16"/>
      <c r="K196" s="16"/>
      <c r="L196" s="16"/>
      <c r="M196" s="16"/>
      <c r="O196" s="438"/>
    </row>
    <row r="197" s="23" customFormat="1" ht="15" customHeight="1" outlineLevel="1">
      <c r="B197" s="241" t="s">
        <v>228</v>
      </c>
      <c r="C197" s="12"/>
      <c r="D197" s="14"/>
      <c r="E197" s="14"/>
      <c r="F197" s="14"/>
      <c r="G197" s="14"/>
      <c r="H197" s="14"/>
      <c r="I197" s="16"/>
      <c r="J197" s="16"/>
      <c r="K197" s="16"/>
      <c r="L197" s="16"/>
      <c r="M197" s="16"/>
      <c r="O197" s="438"/>
    </row>
    <row r="198" s="23" customFormat="1" ht="15" customHeight="1" outlineLevel="1">
      <c r="B198" s="284" t="s">
        <v>229</v>
      </c>
      <c r="C198" s="12"/>
      <c r="D198" s="14"/>
      <c r="E198" s="14"/>
      <c r="F198" s="289"/>
      <c r="G198" s="289"/>
      <c r="H198" s="289"/>
      <c r="I198" s="30">
        <f>($D$172/$D$171)*I172</f>
        <v>4712.9375</v>
      </c>
      <c r="J198" s="30">
        <f>($D$172/$D$171)*J172</f>
        <v>4712.9375</v>
      </c>
      <c r="K198" s="30">
        <f>($D$172/$D$171)*K172</f>
        <v>4712.9375</v>
      </c>
      <c r="L198" s="30">
        <f>($D$172/$D$171)*L172</f>
        <v>4712.9375</v>
      </c>
      <c r="M198" s="30">
        <f>($D$172/$D$171)*M172</f>
        <v>4712.9375</v>
      </c>
      <c r="O198" s="59"/>
    </row>
    <row r="199" s="23" customFormat="1" ht="15" customHeight="1" outlineLevel="1">
      <c r="B199" s="284" t="s">
        <v>230</v>
      </c>
      <c r="C199" s="12"/>
      <c r="D199" s="14"/>
      <c r="E199" s="14"/>
      <c r="F199" s="14"/>
      <c r="G199" s="14"/>
      <c r="H199" s="14"/>
      <c r="I199" s="30">
        <f>SUM(I190:I194)</f>
        <v>250</v>
      </c>
      <c r="J199" s="30">
        <f>SUM(J190:J194)</f>
        <v>700</v>
      </c>
      <c r="K199" s="30">
        <f>SUM(K190:K194)</f>
        <v>1125</v>
      </c>
      <c r="L199" s="30">
        <f>SUM(L190:L194)</f>
        <v>1475</v>
      </c>
      <c r="M199" s="30">
        <f>SUM(M190:M194)</f>
        <v>1725</v>
      </c>
      <c r="O199" s="59"/>
    </row>
    <row r="200" s="23" customFormat="1" ht="15" customHeight="1" outlineLevel="1">
      <c r="B200" s="284" t="s">
        <v>231</v>
      </c>
      <c r="C200" s="12"/>
      <c r="D200" s="14"/>
      <c r="E200" s="14"/>
      <c r="F200" s="14"/>
      <c r="G200" s="14"/>
      <c r="H200" s="14"/>
      <c r="I200" s="864">
        <f>SUM(I198:I199)</f>
        <v>4962.9375</v>
      </c>
      <c r="J200" s="864">
        <f>SUM(J198:J199)</f>
        <v>5412.9375</v>
      </c>
      <c r="K200" s="864">
        <f>SUM(K198:K199)</f>
        <v>5837.9375</v>
      </c>
      <c r="L200" s="864">
        <f>SUM(L198:L199)</f>
        <v>6187.9375</v>
      </c>
      <c r="M200" s="864">
        <f>SUM(M198:M199)</f>
        <v>6437.9375</v>
      </c>
      <c r="O200" s="438"/>
      <c r="S200" s="870" t="str">
        <f>IF(SUM(S166:S167)=1,"COMPLETE","")</f>
        <v>COMPLETE</v>
      </c>
    </row>
    <row r="201" s="23" customFormat="1" ht="15" customHeight="1" outlineLevel="1">
      <c r="B201" s="11"/>
      <c r="C201" s="12"/>
      <c r="D201" s="14"/>
      <c r="E201" s="14"/>
      <c r="F201" s="14"/>
      <c r="G201" s="14"/>
      <c r="H201" s="14"/>
      <c r="I201" s="289"/>
      <c r="J201" s="289"/>
      <c r="K201" s="289"/>
      <c r="L201" s="289"/>
      <c r="M201" s="289"/>
      <c r="O201" s="438"/>
    </row>
    <row r="202" s="23" customFormat="1" ht="15" customHeight="1" outlineLevel="1">
      <c r="B202" s="11"/>
      <c r="C202" s="12"/>
      <c r="D202" s="14"/>
      <c r="E202" s="14"/>
      <c r="F202" s="14"/>
      <c r="G202" s="14"/>
      <c r="H202" s="14"/>
      <c r="I202" s="289"/>
      <c r="J202" s="289"/>
      <c r="K202" s="289"/>
      <c r="L202" s="289"/>
      <c r="M202" s="289"/>
      <c r="O202" s="438"/>
    </row>
    <row r="203" s="23" customFormat="1" ht="15" customHeight="1" outlineLevel="1">
      <c r="C203" s="12"/>
      <c r="D203" s="14"/>
      <c r="E203" s="14"/>
      <c r="F203" s="14"/>
      <c r="G203" s="14"/>
      <c r="H203" s="14"/>
      <c r="I203" s="16"/>
      <c r="J203" s="16"/>
      <c r="K203" s="16"/>
      <c r="L203" s="16"/>
      <c r="M203" s="132" t="s">
        <v>232</v>
      </c>
      <c r="O203" s="59"/>
    </row>
    <row r="204" s="23" customFormat="1" ht="15" customHeight="1" outlineLevel="1">
      <c r="C204" s="12"/>
      <c r="D204" s="14"/>
      <c r="E204" s="14"/>
      <c r="F204" s="14"/>
      <c r="G204" s="14"/>
      <c r="H204" s="14"/>
      <c r="I204" s="16"/>
      <c r="J204" s="16"/>
      <c r="K204" s="16"/>
      <c r="L204" s="16"/>
      <c r="M204" s="535" t="s">
        <v>233</v>
      </c>
      <c r="O204" s="59"/>
    </row>
    <row r="205" s="23" customFormat="1" ht="15" customHeight="1" outlineLevel="1">
      <c r="C205" s="12"/>
      <c r="D205" s="14"/>
      <c r="E205" s="14"/>
      <c r="F205" s="14"/>
      <c r="G205" s="14"/>
      <c r="H205" s="14"/>
      <c r="I205" s="16"/>
      <c r="J205" s="16"/>
      <c r="K205" s="16"/>
      <c r="L205" s="16"/>
      <c r="M205" s="536"/>
      <c r="O205" s="59"/>
    </row>
    <row r="206" s="23" customFormat="1" ht="15" customHeight="1" outlineLevel="1">
      <c r="B206" s="500"/>
      <c r="C206" s="281"/>
      <c r="D206" s="501"/>
      <c r="E206" s="501"/>
      <c r="F206" s="501"/>
      <c r="G206" s="501"/>
      <c r="H206" s="501"/>
      <c r="I206" s="502"/>
      <c r="J206" s="502"/>
      <c r="K206" s="502"/>
      <c r="L206" s="502"/>
      <c r="M206" s="502"/>
      <c r="N206" s="502"/>
      <c r="O206" s="438"/>
    </row>
    <row r="207" s="23" customFormat="1" ht="15" customHeight="1">
      <c r="B207" s="11"/>
      <c r="C207" s="12"/>
      <c r="D207" s="14"/>
      <c r="E207" s="14"/>
      <c r="F207" s="14"/>
      <c r="G207" s="14"/>
      <c r="H207" s="14"/>
      <c r="I207" s="16"/>
      <c r="J207" s="16"/>
      <c r="K207" s="16"/>
      <c r="L207" s="16"/>
      <c r="M207" s="16"/>
      <c r="N207" s="16"/>
      <c r="O207" s="438"/>
    </row>
    <row r="208" s="23" customFormat="1" ht="15" customHeight="1">
      <c r="A208" s="23" t="s">
        <v>0</v>
      </c>
      <c r="B208" s="6" t="s">
        <v>234</v>
      </c>
      <c r="C208" s="7"/>
      <c r="D208" s="459"/>
      <c r="E208" s="459"/>
      <c r="F208" s="9"/>
      <c r="G208" s="9"/>
      <c r="H208" s="9"/>
      <c r="I208" s="460"/>
      <c r="J208" s="461"/>
      <c r="K208" s="461"/>
      <c r="L208" s="461"/>
      <c r="M208" s="461"/>
      <c r="N208" s="401"/>
      <c r="O208" s="438"/>
    </row>
    <row r="209" s="23" customFormat="1" ht="15" customHeight="1" outlineLevel="1">
      <c r="B209" s="176"/>
      <c r="C209" s="12"/>
      <c r="D209" s="13"/>
      <c r="E209" s="13"/>
      <c r="F209" s="10"/>
      <c r="G209" s="10"/>
      <c r="H209" s="10"/>
      <c r="I209" s="10"/>
      <c r="J209" s="10"/>
      <c r="K209" s="10"/>
      <c r="L209" s="10"/>
      <c r="M209" s="10"/>
      <c r="O209" s="438"/>
    </row>
    <row r="210" s="23" customFormat="1" ht="15" customHeight="1" outlineLevel="1">
      <c r="B210" s="11" t="s">
        <v>3</v>
      </c>
      <c r="C210" s="12"/>
      <c r="D210" s="14"/>
      <c r="E210" s="14"/>
      <c r="F210" s="10"/>
      <c r="G210" s="14"/>
      <c r="H210" s="837">
        <f t="shared" ref="H210:M210" si="394">H$5</f>
        <v>2022</v>
      </c>
      <c r="I210" s="177">
        <f t="shared" si="394"/>
        <v>2023</v>
      </c>
      <c r="J210" s="177">
        <f t="shared" si="394"/>
        <v>2024</v>
      </c>
      <c r="K210" s="177">
        <f t="shared" si="394"/>
        <v>2025</v>
      </c>
      <c r="L210" s="177">
        <f t="shared" si="394"/>
        <v>2026</v>
      </c>
      <c r="M210" s="177">
        <f t="shared" si="394"/>
        <v>2027</v>
      </c>
      <c r="N210" s="16"/>
      <c r="O210" s="59"/>
    </row>
    <row r="211" ht="15" customHeight="1" outlineLevel="1">
      <c r="A211" s="4"/>
      <c r="B211" s="11" t="str">
        <f>$B$6</f>
        <v xml:space="preserve">Model Running: Base Case Drivers</v>
      </c>
      <c r="C211" s="12"/>
      <c r="D211" s="14"/>
      <c r="E211" s="14"/>
      <c r="F211" s="14"/>
      <c r="G211" s="14"/>
      <c r="H211" s="14"/>
      <c r="I211" s="16"/>
      <c r="J211" s="16"/>
      <c r="K211" s="16"/>
      <c r="L211" s="16"/>
      <c r="M211" s="16"/>
      <c r="N211" s="16"/>
    </row>
    <row r="212" s="23" customFormat="1" ht="15" customHeight="1" outlineLevel="1">
      <c r="B212" s="11"/>
      <c r="C212" s="12"/>
      <c r="D212" s="14"/>
      <c r="E212" s="14"/>
      <c r="F212" s="14"/>
      <c r="G212" s="14"/>
      <c r="H212" s="14"/>
      <c r="I212" s="16"/>
      <c r="J212" s="16"/>
      <c r="K212" s="16"/>
      <c r="L212" s="16"/>
      <c r="M212" s="16"/>
      <c r="O212" s="438"/>
      <c r="Q212" s="25" t="s">
        <v>6</v>
      </c>
      <c r="R212" s="26" t="s">
        <v>7</v>
      </c>
      <c r="S212" s="27" t="s">
        <v>8</v>
      </c>
    </row>
    <row r="213" s="23" customFormat="1" ht="15" customHeight="1" outlineLevel="1">
      <c r="B213" s="73" t="s">
        <v>35</v>
      </c>
      <c r="C213" s="12"/>
      <c r="D213" s="14"/>
      <c r="E213" s="14"/>
      <c r="F213" s="14"/>
      <c r="G213" s="30"/>
      <c r="H213" s="30"/>
      <c r="I213" s="940">
        <f>Inputs!G24</f>
        <v>10000</v>
      </c>
      <c r="J213" s="910">
        <f>Inputs!H24</f>
        <v>8000</v>
      </c>
      <c r="K213" s="910">
        <f>Inputs!I24</f>
        <v>9000</v>
      </c>
      <c r="L213" s="910">
        <f>Inputs!J24</f>
        <v>5000</v>
      </c>
      <c r="M213" s="911">
        <f>Inputs!K24</f>
        <v>5000</v>
      </c>
      <c r="N213" s="30"/>
      <c r="Q213" s="891">
        <f>SUM(Model!I210:N210)</f>
        <v>43000</v>
      </c>
      <c r="R213" s="892">
        <f>SUM(I213:N213)</f>
        <v>37000</v>
      </c>
      <c r="S213" s="33">
        <f>IF(ISBLANK(Model!I210),0,IF(Q213=R213,1,0))</f>
        <v>0</v>
      </c>
    </row>
    <row r="214" s="23" customFormat="1" ht="15" customHeight="1" outlineLevel="1">
      <c r="B214" s="11"/>
      <c r="C214" s="12"/>
      <c r="D214" s="14"/>
      <c r="E214" s="14"/>
      <c r="F214" s="14"/>
      <c r="G214" s="14"/>
      <c r="H214" s="14"/>
      <c r="I214" s="16"/>
      <c r="J214" s="16"/>
      <c r="K214" s="16"/>
      <c r="L214" s="16"/>
      <c r="M214" s="16"/>
    </row>
    <row r="215" s="23" customFormat="1" ht="15" customHeight="1" outlineLevel="1">
      <c r="B215" s="390" t="s">
        <v>131</v>
      </c>
      <c r="C215" s="538"/>
      <c r="D215" s="941">
        <f>Inputs!L112</f>
        <v>0.5</v>
      </c>
      <c r="E215" s="14"/>
      <c r="F215" s="14"/>
      <c r="G215" s="14"/>
      <c r="H215" s="14"/>
      <c r="I215" s="16"/>
      <c r="J215" s="16"/>
      <c r="K215" s="16"/>
      <c r="L215" s="16"/>
      <c r="M215" s="16"/>
    </row>
    <row r="216" s="23" customFormat="1" ht="15" customHeight="1" outlineLevel="1">
      <c r="B216" s="408" t="s">
        <v>132</v>
      </c>
      <c r="C216" s="492"/>
      <c r="D216" s="942">
        <f>Inputs!L113</f>
        <v>0.14999999999999999</v>
      </c>
      <c r="E216" s="14"/>
      <c r="F216" s="14"/>
      <c r="G216" s="14"/>
      <c r="H216" s="14"/>
      <c r="J216" s="16"/>
      <c r="K216" s="16"/>
      <c r="L216" s="16"/>
      <c r="M216" s="16"/>
    </row>
    <row r="217" s="23" customFormat="1" ht="15" customHeight="1" outlineLevel="1">
      <c r="B217" s="73"/>
      <c r="C217" s="541"/>
      <c r="D217" s="542"/>
      <c r="E217" s="14"/>
      <c r="F217" s="14"/>
      <c r="G217" s="14"/>
      <c r="H217" s="14"/>
      <c r="I217" s="543"/>
      <c r="J217" s="543"/>
      <c r="K217" s="543"/>
      <c r="L217" s="543"/>
      <c r="M217" s="543"/>
    </row>
    <row r="218" s="23" customFormat="1" ht="15" customHeight="1" outlineLevel="1">
      <c r="B218" s="73"/>
      <c r="C218" s="541"/>
      <c r="D218" s="542"/>
      <c r="E218" s="14"/>
      <c r="F218" s="14"/>
      <c r="G218" s="14"/>
      <c r="H218" s="14"/>
      <c r="I218" s="543"/>
      <c r="J218" s="543"/>
      <c r="K218" s="543"/>
      <c r="L218" s="543"/>
      <c r="M218" s="543"/>
    </row>
    <row r="219" s="23" customFormat="1" ht="15" customHeight="1" outlineLevel="1">
      <c r="B219" s="241" t="s">
        <v>235</v>
      </c>
      <c r="C219" s="12"/>
      <c r="D219" s="14"/>
      <c r="E219" s="14"/>
      <c r="F219" s="14"/>
      <c r="G219" s="14"/>
      <c r="H219" s="14"/>
      <c r="I219" s="16"/>
      <c r="J219" s="16"/>
      <c r="K219" s="16"/>
      <c r="L219" s="16"/>
      <c r="M219" s="16"/>
    </row>
    <row r="220" s="23" customFormat="1" ht="15" customHeight="1" outlineLevel="1">
      <c r="B220" s="284" t="s">
        <v>236</v>
      </c>
      <c r="C220" s="12"/>
      <c r="D220" s="14"/>
      <c r="E220" s="14"/>
      <c r="F220" s="14"/>
      <c r="G220" s="289"/>
      <c r="H220" s="30"/>
      <c r="I220" s="30">
        <f>H223</f>
        <v>75407</v>
      </c>
      <c r="J220" s="30">
        <f>I223</f>
        <v>80444.0625</v>
      </c>
      <c r="K220" s="30">
        <f>J223</f>
        <v>83031.125</v>
      </c>
      <c r="L220" s="30">
        <f>K223</f>
        <v>86193.1875</v>
      </c>
      <c r="M220" s="30">
        <f>L223</f>
        <v>85005.25</v>
      </c>
      <c r="N220" s="30"/>
    </row>
    <row r="221" s="23" customFormat="1" ht="15" customHeight="1" outlineLevel="1">
      <c r="B221" s="284" t="s">
        <v>35</v>
      </c>
      <c r="C221" s="12"/>
      <c r="D221" s="14"/>
      <c r="E221" s="14"/>
      <c r="F221" s="14"/>
      <c r="G221" s="289"/>
      <c r="H221" s="544"/>
      <c r="I221" s="30">
        <f>I213</f>
        <v>10000</v>
      </c>
      <c r="J221" s="30">
        <f>J213</f>
        <v>8000</v>
      </c>
      <c r="K221" s="30">
        <f>K213</f>
        <v>9000</v>
      </c>
      <c r="L221" s="30">
        <f>L213</f>
        <v>5000</v>
      </c>
      <c r="M221" s="30">
        <f>M213</f>
        <v>5000</v>
      </c>
      <c r="N221" s="30"/>
      <c r="Q221" s="25" t="s">
        <v>6</v>
      </c>
      <c r="R221" s="26" t="s">
        <v>7</v>
      </c>
      <c r="S221" s="27" t="s">
        <v>8</v>
      </c>
    </row>
    <row r="222" s="23" customFormat="1" ht="15" customHeight="1" outlineLevel="1">
      <c r="B222" s="284" t="s">
        <v>237</v>
      </c>
      <c r="C222" s="12"/>
      <c r="D222" s="14"/>
      <c r="E222" s="14"/>
      <c r="F222" s="14"/>
      <c r="G222" s="289"/>
      <c r="H222" s="545"/>
      <c r="I222" s="943">
        <f>-Model!I197</f>
        <v>-4962.9375</v>
      </c>
      <c r="J222" s="943">
        <f>-Model!J197</f>
        <v>-5412.9375</v>
      </c>
      <c r="K222" s="943">
        <f>-Model!K197</f>
        <v>-5837.9375</v>
      </c>
      <c r="L222" s="943">
        <f>-Model!L197</f>
        <v>-6187.9375</v>
      </c>
      <c r="M222" s="943">
        <f>-Model!M197</f>
        <v>-6437.9375</v>
      </c>
      <c r="N222" s="30"/>
      <c r="Q222" s="891">
        <f>SUM(Model!I219:M219)</f>
        <v>-28839.6875</v>
      </c>
      <c r="R222" s="892">
        <f>SUM(I222:M222)</f>
        <v>-28839.6875</v>
      </c>
      <c r="S222" s="33">
        <f>IF(ISBLANK(Model!I219),0,IF(Q222=R222,1,0))</f>
        <v>1</v>
      </c>
    </row>
    <row r="223" s="23" customFormat="1" ht="15" customHeight="1" outlineLevel="1">
      <c r="B223" s="284" t="s">
        <v>238</v>
      </c>
      <c r="C223" s="12"/>
      <c r="D223" s="14"/>
      <c r="E223" s="14"/>
      <c r="F223" s="546"/>
      <c r="G223" s="289"/>
      <c r="H223" s="30">
        <f>$D$172</f>
        <v>75407</v>
      </c>
      <c r="I223" s="30">
        <f>SUM(I220:I222)</f>
        <v>80444.0625</v>
      </c>
      <c r="J223" s="30">
        <f>SUM(J220:J222)</f>
        <v>83031.125</v>
      </c>
      <c r="K223" s="30">
        <f>SUM(K220:K222)</f>
        <v>86193.1875</v>
      </c>
      <c r="L223" s="30">
        <f>SUM(L220:L222)</f>
        <v>85005.25</v>
      </c>
      <c r="M223" s="30">
        <f>SUM(M220:M222)</f>
        <v>83567.3125</v>
      </c>
      <c r="N223" s="30"/>
    </row>
    <row r="224" s="23" customFormat="1" ht="15" customHeight="1" outlineLevel="1">
      <c r="B224" s="11"/>
      <c r="C224" s="12"/>
      <c r="D224" s="14"/>
      <c r="E224" s="14"/>
      <c r="F224" s="14"/>
      <c r="G224" s="14"/>
      <c r="H224" s="242"/>
      <c r="I224" s="242"/>
      <c r="J224" s="242"/>
      <c r="K224" s="242"/>
      <c r="L224" s="242"/>
      <c r="M224" s="242"/>
      <c r="N224" s="242"/>
      <c r="O224" s="16"/>
    </row>
    <row r="225" s="23" customFormat="1" ht="15" customHeight="1" outlineLevel="1">
      <c r="B225" s="11"/>
      <c r="C225" s="12"/>
      <c r="D225" s="14"/>
      <c r="E225" s="14"/>
      <c r="F225" s="14"/>
      <c r="G225" s="14"/>
      <c r="H225" s="242"/>
      <c r="I225" s="242"/>
      <c r="J225" s="242"/>
      <c r="K225" s="242"/>
      <c r="L225" s="242"/>
      <c r="M225" s="242"/>
      <c r="N225" s="242"/>
      <c r="O225" s="16"/>
    </row>
    <row r="226" s="23" customFormat="1" ht="15" customHeight="1" outlineLevel="1">
      <c r="B226" s="241" t="s">
        <v>239</v>
      </c>
      <c r="C226" s="12"/>
      <c r="D226" s="14"/>
      <c r="E226" s="14"/>
      <c r="F226" s="14"/>
      <c r="G226" s="14"/>
      <c r="H226" s="242"/>
      <c r="I226" s="242"/>
      <c r="J226" s="242"/>
      <c r="K226" s="242"/>
      <c r="L226" s="242"/>
      <c r="M226" s="242"/>
      <c r="N226" s="242"/>
      <c r="O226" s="16"/>
    </row>
    <row r="227" s="23" customFormat="1" ht="15" customHeight="1" outlineLevel="1">
      <c r="B227" s="284" t="s">
        <v>236</v>
      </c>
      <c r="C227" s="12"/>
      <c r="D227" s="14"/>
      <c r="E227" s="14"/>
      <c r="F227" s="14"/>
      <c r="G227" s="289"/>
      <c r="H227" s="30"/>
      <c r="I227" s="30">
        <f>H230</f>
        <v>39211</v>
      </c>
      <c r="J227" s="30">
        <f>I230</f>
        <v>42579.349999999999</v>
      </c>
      <c r="K227" s="30">
        <f>J230</f>
        <v>43592.447500000002</v>
      </c>
      <c r="L227" s="30">
        <f>K230</f>
        <v>45378.580375000005</v>
      </c>
      <c r="M227" s="30">
        <f>L230</f>
        <v>43196.793318750002</v>
      </c>
      <c r="N227" s="30"/>
      <c r="O227" s="16"/>
    </row>
    <row r="228" s="23" customFormat="1" ht="15" customHeight="1" outlineLevel="1">
      <c r="B228" s="284" t="s">
        <v>35</v>
      </c>
      <c r="C228" s="12"/>
      <c r="D228" s="14"/>
      <c r="E228" s="14"/>
      <c r="F228" s="14"/>
      <c r="G228" s="289"/>
      <c r="H228" s="30"/>
      <c r="I228" s="30">
        <f>I221</f>
        <v>10000</v>
      </c>
      <c r="J228" s="30">
        <f>J221</f>
        <v>8000</v>
      </c>
      <c r="K228" s="30">
        <f>K221</f>
        <v>9000</v>
      </c>
      <c r="L228" s="30">
        <f>L221</f>
        <v>5000</v>
      </c>
      <c r="M228" s="30">
        <f>M221</f>
        <v>5000</v>
      </c>
      <c r="N228" s="30"/>
      <c r="O228" s="16"/>
    </row>
    <row r="229" s="23" customFormat="1" ht="15" customHeight="1" outlineLevel="1">
      <c r="B229" s="284" t="s">
        <v>240</v>
      </c>
      <c r="H229" s="547"/>
      <c r="I229" s="545">
        <f>-(I227+I228*$D$215)*$D$216</f>
        <v>-6631.6499999999996</v>
      </c>
      <c r="J229" s="545">
        <f>-(J227+J228*$D$215)*$D$216</f>
        <v>-6986.9024999999992</v>
      </c>
      <c r="K229" s="545">
        <f>-(K227+K228*$D$215)*$D$216</f>
        <v>-7213.8671249999998</v>
      </c>
      <c r="L229" s="545">
        <f>-(L227+L228*$D$215)*$D$216</f>
        <v>-7181.7870562500002</v>
      </c>
      <c r="M229" s="545">
        <f>-(M227+M228*$D$215)*$D$216</f>
        <v>-6854.5189978124999</v>
      </c>
      <c r="N229" s="30"/>
    </row>
    <row r="230" s="23" customFormat="1" ht="15" customHeight="1" outlineLevel="1">
      <c r="B230" s="284" t="s">
        <v>238</v>
      </c>
      <c r="C230" s="12"/>
      <c r="D230" s="14"/>
      <c r="E230" s="14"/>
      <c r="F230" s="441"/>
      <c r="G230" s="289"/>
      <c r="H230" s="30">
        <f>Inputs!L104</f>
        <v>39211</v>
      </c>
      <c r="I230" s="30">
        <f>SUM(I227:I229)</f>
        <v>42579.349999999999</v>
      </c>
      <c r="J230" s="30">
        <f>SUM(J227:J229)</f>
        <v>43592.447500000002</v>
      </c>
      <c r="K230" s="30">
        <f>SUM(K227:K229)</f>
        <v>45378.580375000005</v>
      </c>
      <c r="L230" s="30">
        <f>SUM(L227:L229)</f>
        <v>43196.793318750002</v>
      </c>
      <c r="M230" s="30">
        <f>SUM(M227:M229)</f>
        <v>41342.274320937504</v>
      </c>
      <c r="N230" s="30"/>
      <c r="S230" s="870" t="str">
        <f>IF(SUM(S212:S222)=2,"COMPLETE","")</f>
        <v/>
      </c>
    </row>
    <row r="231" s="23" customFormat="1" ht="15" customHeight="1" outlineLevel="1">
      <c r="B231" s="11"/>
      <c r="C231" s="12"/>
      <c r="D231" s="14"/>
      <c r="E231" s="14"/>
      <c r="F231" s="14"/>
      <c r="G231" s="14"/>
      <c r="H231" s="14"/>
      <c r="I231" s="16"/>
      <c r="J231" s="16"/>
      <c r="K231" s="16"/>
      <c r="L231" s="16"/>
      <c r="M231" s="16"/>
    </row>
    <row r="232" s="23" customFormat="1" ht="15" customHeight="1" outlineLevel="1">
      <c r="B232" s="11"/>
      <c r="C232" s="12"/>
      <c r="D232" s="14"/>
      <c r="E232" s="14"/>
      <c r="F232" s="14"/>
      <c r="G232" s="14"/>
      <c r="H232" s="14"/>
      <c r="I232" s="16"/>
      <c r="J232" s="16"/>
      <c r="K232" s="16"/>
      <c r="L232" s="16"/>
      <c r="M232" s="16"/>
      <c r="O232" s="438"/>
    </row>
    <row r="233" s="23" customFormat="1" ht="15" customHeight="1" outlineLevel="1">
      <c r="B233" s="11"/>
      <c r="C233" s="12"/>
      <c r="D233" s="14"/>
      <c r="E233" s="14"/>
      <c r="F233" s="14"/>
      <c r="G233" s="14"/>
      <c r="H233" s="14"/>
      <c r="I233" s="16"/>
      <c r="J233" s="16"/>
      <c r="K233" s="16"/>
      <c r="L233" s="16"/>
      <c r="M233" s="132" t="s">
        <v>241</v>
      </c>
      <c r="O233" s="59"/>
    </row>
    <row r="234" s="23" customFormat="1" ht="15" customHeight="1" outlineLevel="1">
      <c r="B234" s="11"/>
      <c r="C234" s="12"/>
      <c r="D234" s="14"/>
      <c r="E234" s="14"/>
      <c r="F234" s="14"/>
      <c r="G234" s="14"/>
      <c r="H234" s="14"/>
      <c r="I234" s="16"/>
      <c r="J234" s="16"/>
      <c r="K234" s="16"/>
      <c r="L234" s="16"/>
      <c r="M234" s="536"/>
      <c r="O234" s="59"/>
    </row>
    <row r="235" s="23" customFormat="1" ht="15" customHeight="1" outlineLevel="1">
      <c r="B235" s="500"/>
      <c r="C235" s="281"/>
      <c r="D235" s="501"/>
      <c r="E235" s="501"/>
      <c r="F235" s="501"/>
      <c r="G235" s="501"/>
      <c r="H235" s="501"/>
      <c r="I235" s="502"/>
      <c r="J235" s="502"/>
      <c r="K235" s="502"/>
      <c r="L235" s="502"/>
      <c r="M235" s="502"/>
      <c r="N235" s="502"/>
      <c r="O235" s="477"/>
    </row>
    <row r="236" s="23" customFormat="1" ht="15" customHeight="1">
      <c r="B236" s="11"/>
      <c r="C236" s="12"/>
      <c r="D236" s="14"/>
      <c r="E236" s="14"/>
      <c r="F236" s="14"/>
      <c r="G236" s="14"/>
      <c r="H236" s="14"/>
      <c r="I236" s="16"/>
      <c r="J236" s="16"/>
      <c r="K236" s="16"/>
      <c r="L236" s="16"/>
      <c r="M236" s="16"/>
      <c r="N236" s="16"/>
      <c r="O236" s="477"/>
    </row>
    <row r="237" s="23" customFormat="1" ht="15" customHeight="1">
      <c r="A237" s="23" t="s">
        <v>0</v>
      </c>
      <c r="B237" s="6" t="s">
        <v>263</v>
      </c>
      <c r="C237" s="7"/>
      <c r="D237" s="459"/>
      <c r="E237" s="459"/>
      <c r="F237" s="9"/>
      <c r="G237" s="9"/>
      <c r="H237" s="9"/>
      <c r="I237" s="460"/>
      <c r="J237" s="461"/>
      <c r="K237" s="461"/>
      <c r="L237" s="461"/>
      <c r="M237" s="461"/>
      <c r="N237" s="401"/>
      <c r="O237" s="477"/>
    </row>
    <row r="238" s="23" customFormat="1" ht="15" customHeight="1" outlineLevel="1">
      <c r="B238" s="176"/>
      <c r="C238" s="12"/>
      <c r="D238" s="13"/>
      <c r="E238" s="13"/>
      <c r="F238" s="10"/>
      <c r="G238" s="10"/>
      <c r="H238" s="10"/>
      <c r="I238" s="10"/>
      <c r="J238" s="10"/>
      <c r="K238" s="10"/>
      <c r="L238" s="10"/>
      <c r="M238" s="10"/>
      <c r="O238" s="477"/>
    </row>
    <row r="239" s="23" customFormat="1" ht="15" customHeight="1" outlineLevel="1">
      <c r="B239" s="11" t="s">
        <v>3</v>
      </c>
      <c r="C239" s="12"/>
      <c r="D239" s="14"/>
      <c r="E239" s="14"/>
      <c r="F239" s="14"/>
      <c r="G239" s="14"/>
      <c r="H239" s="837">
        <f t="shared" ref="H239:M239" si="395">H$5</f>
        <v>2022</v>
      </c>
      <c r="I239" s="177">
        <f t="shared" si="395"/>
        <v>2023</v>
      </c>
      <c r="J239" s="177">
        <f t="shared" si="395"/>
        <v>2024</v>
      </c>
      <c r="K239" s="177">
        <f t="shared" si="395"/>
        <v>2025</v>
      </c>
      <c r="L239" s="177">
        <f t="shared" si="395"/>
        <v>2026</v>
      </c>
      <c r="M239" s="177">
        <f t="shared" si="395"/>
        <v>2027</v>
      </c>
      <c r="N239" s="16"/>
      <c r="O239" s="477"/>
    </row>
    <row r="240" ht="15" customHeight="1" outlineLevel="1">
      <c r="A240" s="4"/>
      <c r="B240" s="11" t="str">
        <f>$B$6</f>
        <v xml:space="preserve">Model Running: Base Case Drivers</v>
      </c>
      <c r="C240" s="12"/>
      <c r="D240" s="14"/>
      <c r="E240" s="14"/>
      <c r="F240" s="14"/>
      <c r="G240" s="14"/>
      <c r="H240" s="14"/>
      <c r="I240" s="16"/>
      <c r="J240" s="16"/>
      <c r="K240" s="16"/>
      <c r="L240" s="16"/>
      <c r="M240" s="16"/>
      <c r="N240" s="16"/>
    </row>
    <row r="241" s="23" customFormat="1" ht="15" customHeight="1" outlineLevel="1">
      <c r="B241" s="11"/>
      <c r="C241" s="12"/>
      <c r="D241" s="14"/>
      <c r="E241" s="14"/>
      <c r="F241" s="14"/>
      <c r="G241" s="14"/>
      <c r="H241" s="14"/>
      <c r="I241" s="16"/>
      <c r="J241" s="16"/>
      <c r="K241" s="16"/>
      <c r="L241" s="16"/>
      <c r="M241" s="16"/>
      <c r="O241" s="438"/>
      <c r="Q241" s="25" t="s">
        <v>6</v>
      </c>
      <c r="R241" s="26" t="s">
        <v>7</v>
      </c>
      <c r="S241" s="27" t="s">
        <v>8</v>
      </c>
    </row>
    <row r="242" s="23" customFormat="1" ht="15" customHeight="1" outlineLevel="1">
      <c r="B242" s="73" t="s">
        <v>264</v>
      </c>
      <c r="C242" s="12"/>
      <c r="D242" s="14"/>
      <c r="E242" s="14"/>
      <c r="G242" s="289"/>
      <c r="H242" s="30"/>
      <c r="I242" s="902">
        <f>Model!I34</f>
        <v>14247.2074385</v>
      </c>
      <c r="J242" s="944">
        <f>Model!J34</f>
        <v>14057.118829351912</v>
      </c>
      <c r="K242" s="944">
        <f>Model!K34</f>
        <v>13876.233362535513</v>
      </c>
      <c r="L242" s="944">
        <f>Model!L34</f>
        <v>13632.479870224313</v>
      </c>
      <c r="M242" s="903">
        <f>Model!M34</f>
        <v>13539.751916893152</v>
      </c>
      <c r="N242" s="30"/>
      <c r="O242" s="59"/>
      <c r="Q242" s="891">
        <f>SUM(Model!I336:N336)</f>
        <v>69352.791417504879</v>
      </c>
      <c r="R242" s="892">
        <f>SUM(I242:N242)</f>
        <v>69352.791417504879</v>
      </c>
      <c r="S242" s="33">
        <f>IF(ISBLANK(Model!I336),0,IF(Q242=R242,1,0))</f>
        <v>1</v>
      </c>
    </row>
    <row r="243" s="23" customFormat="1" ht="15" customHeight="1" outlineLevel="1">
      <c r="B243" s="73" t="s">
        <v>265</v>
      </c>
      <c r="C243" s="12"/>
      <c r="D243" s="14"/>
      <c r="E243" s="14"/>
      <c r="F243" s="14"/>
      <c r="G243" s="14"/>
      <c r="H243" s="14"/>
      <c r="I243" s="945">
        <f>IF(I253&gt;0,1,0)</f>
        <v>1</v>
      </c>
      <c r="J243" s="946">
        <f>IF(J253&gt;0,1,0)</f>
        <v>1</v>
      </c>
      <c r="K243" s="946">
        <f>IF(K253&gt;0,1,0)</f>
        <v>1</v>
      </c>
      <c r="L243" s="946">
        <f>IF(L253&gt;0,1,0)</f>
        <v>1</v>
      </c>
      <c r="M243" s="947">
        <f>IF(M253&gt;0,1,0)</f>
        <v>1</v>
      </c>
      <c r="N243" s="948"/>
      <c r="O243" s="59"/>
    </row>
    <row r="244" s="23" customFormat="1" ht="15" customHeight="1" outlineLevel="1">
      <c r="B244" s="11"/>
      <c r="C244" s="12"/>
      <c r="D244" s="14"/>
      <c r="E244" s="14"/>
      <c r="F244" s="14"/>
      <c r="G244" s="14"/>
      <c r="H244" s="14"/>
      <c r="I244" s="16"/>
      <c r="J244" s="16"/>
      <c r="K244" s="16"/>
      <c r="L244" s="16"/>
      <c r="M244" s="16"/>
      <c r="O244" s="59"/>
    </row>
    <row r="245" s="23" customFormat="1" ht="15" customHeight="1" outlineLevel="1">
      <c r="B245" s="390" t="s">
        <v>101</v>
      </c>
      <c r="C245" s="558"/>
      <c r="D245" s="949">
        <f>$C$101</f>
        <v>0.25</v>
      </c>
      <c r="E245" s="14"/>
      <c r="F245" s="14"/>
      <c r="G245" s="14"/>
      <c r="H245" s="14"/>
      <c r="I245" s="16"/>
      <c r="J245" s="16"/>
      <c r="K245" s="16"/>
      <c r="L245" s="16"/>
      <c r="M245" s="16"/>
      <c r="O245" s="59"/>
    </row>
    <row r="246" ht="15" customHeight="1" outlineLevel="1">
      <c r="A246" s="23"/>
      <c r="B246" s="560" t="s">
        <v>266</v>
      </c>
      <c r="C246" s="281"/>
      <c r="D246" s="950">
        <f>IF(M264=0,0,1)</f>
        <v>0</v>
      </c>
      <c r="E246" s="14"/>
      <c r="F246" s="30"/>
      <c r="G246" s="562"/>
      <c r="H246" s="30"/>
      <c r="I246" s="30"/>
      <c r="J246" s="30"/>
      <c r="K246" s="30"/>
      <c r="L246" s="30"/>
      <c r="O246" s="59"/>
    </row>
    <row r="247" s="23" customFormat="1" ht="15" customHeight="1" outlineLevel="1">
      <c r="B247" s="11"/>
      <c r="C247" s="12"/>
      <c r="D247" s="563"/>
      <c r="E247" s="14"/>
      <c r="F247" s="14"/>
      <c r="G247" s="14"/>
      <c r="H247" s="14"/>
      <c r="I247" s="16"/>
      <c r="J247" s="16"/>
      <c r="K247" s="16"/>
      <c r="L247" s="16"/>
      <c r="M247" s="16"/>
    </row>
    <row r="248" s="23" customFormat="1" ht="15" customHeight="1" outlineLevel="1">
      <c r="B248" s="11"/>
      <c r="C248" s="12"/>
      <c r="D248" s="563"/>
      <c r="E248" s="14"/>
      <c r="F248" s="14"/>
      <c r="G248" s="14"/>
      <c r="H248" s="14"/>
      <c r="I248" s="16"/>
      <c r="J248" s="16"/>
      <c r="K248" s="16"/>
      <c r="L248" s="16"/>
      <c r="M248" s="16"/>
    </row>
    <row r="249" s="23" customFormat="1" ht="15" customHeight="1" outlineLevel="1">
      <c r="B249" s="61" t="s">
        <v>267</v>
      </c>
      <c r="C249" s="12"/>
      <c r="D249" s="14"/>
      <c r="E249" s="14"/>
      <c r="F249" s="14"/>
      <c r="G249" s="14"/>
      <c r="H249" s="14"/>
      <c r="I249" s="16"/>
      <c r="J249" s="16"/>
      <c r="K249" s="16"/>
      <c r="L249" s="16"/>
      <c r="M249" s="16"/>
      <c r="O249" s="438"/>
    </row>
    <row r="250" s="23" customFormat="1" ht="15" customHeight="1" outlineLevel="1">
      <c r="B250" s="284" t="s">
        <v>171</v>
      </c>
      <c r="C250" s="12"/>
      <c r="D250" s="14"/>
      <c r="E250" s="14"/>
      <c r="F250" s="14"/>
      <c r="G250" s="14"/>
      <c r="H250" s="30"/>
      <c r="I250" s="30">
        <f>I242</f>
        <v>14247.2074385</v>
      </c>
      <c r="J250" s="30">
        <f>J242</f>
        <v>14057.118829351912</v>
      </c>
      <c r="K250" s="30">
        <f>K242</f>
        <v>13876.233362535513</v>
      </c>
      <c r="L250" s="30">
        <f>L242</f>
        <v>13632.479870224313</v>
      </c>
      <c r="M250" s="30">
        <f>M242</f>
        <v>13539.751916893152</v>
      </c>
      <c r="N250" s="30"/>
      <c r="O250" s="438"/>
      <c r="Q250" s="39" t="s">
        <v>6</v>
      </c>
      <c r="R250" s="40" t="s">
        <v>7</v>
      </c>
      <c r="S250" s="41" t="s">
        <v>8</v>
      </c>
    </row>
    <row r="251" s="23" customFormat="1" ht="15" customHeight="1" outlineLevel="1">
      <c r="B251" s="284" t="s">
        <v>268</v>
      </c>
      <c r="C251" s="12"/>
      <c r="D251" s="14"/>
      <c r="E251" s="14"/>
      <c r="F251" s="14"/>
      <c r="G251" s="14"/>
      <c r="H251" s="242"/>
      <c r="I251" s="901">
        <f>Model!I197</f>
        <v>4962.9375</v>
      </c>
      <c r="J251" s="901">
        <f>Model!J197</f>
        <v>5412.9375</v>
      </c>
      <c r="K251" s="901">
        <f>Model!K197</f>
        <v>5837.9375</v>
      </c>
      <c r="L251" s="901">
        <f>Model!L197</f>
        <v>6187.9375</v>
      </c>
      <c r="M251" s="901">
        <f>Model!M197</f>
        <v>6437.9375</v>
      </c>
      <c r="N251" s="30"/>
      <c r="O251" s="59"/>
      <c r="Q251" s="51">
        <f>SUM(Model!I345:M345)</f>
        <v>28839.6875</v>
      </c>
      <c r="R251" s="52">
        <f>SUM(I251:M251)</f>
        <v>28839.6875</v>
      </c>
      <c r="S251" s="53">
        <f>IF(ISBLANK(Model!I345),0,IF(Q251=R251,1,0))</f>
        <v>1</v>
      </c>
    </row>
    <row r="252" s="23" customFormat="1" ht="15" customHeight="1" outlineLevel="1">
      <c r="B252" s="284" t="s">
        <v>269</v>
      </c>
      <c r="C252" s="12"/>
      <c r="D252" s="14"/>
      <c r="E252" s="14"/>
      <c r="F252" s="14"/>
      <c r="G252" s="14"/>
      <c r="H252" s="242"/>
      <c r="I252" s="943">
        <f>Model!I$226</f>
        <v>-6631.6499999999996</v>
      </c>
      <c r="J252" s="943">
        <f>Model!J$226</f>
        <v>-6986.9024999999992</v>
      </c>
      <c r="K252" s="943">
        <f>Model!K$226</f>
        <v>-7213.8671249999998</v>
      </c>
      <c r="L252" s="943">
        <f>Model!L$226</f>
        <v>-7181.7870562500002</v>
      </c>
      <c r="M252" s="943">
        <f>Model!M$226</f>
        <v>-6854.5189978124999</v>
      </c>
      <c r="N252" s="30"/>
      <c r="O252" s="59"/>
      <c r="Q252" s="70">
        <f>SUM(Model!I346:N346)</f>
        <v>-34868.725679062496</v>
      </c>
      <c r="R252" s="71">
        <f>SUM(I252:N252)</f>
        <v>-34868.725679062496</v>
      </c>
      <c r="S252" s="72">
        <f>IF(ISBLANK(Model!I346),0,IF(Q252=R252,1,0))</f>
        <v>1</v>
      </c>
    </row>
    <row r="253" s="23" customFormat="1" ht="15" customHeight="1" outlineLevel="1">
      <c r="B253" s="284" t="s">
        <v>270</v>
      </c>
      <c r="C253" s="12"/>
      <c r="D253" s="14"/>
      <c r="E253" s="14"/>
      <c r="F253" s="14"/>
      <c r="G253" s="14"/>
      <c r="H253" s="30"/>
      <c r="I253" s="30">
        <f>SUM(I250:I252)</f>
        <v>12578.494938500002</v>
      </c>
      <c r="J253" s="30">
        <f>SUM(J250:J252)</f>
        <v>12483.153829351912</v>
      </c>
      <c r="K253" s="30">
        <f>SUM(K250:K252)</f>
        <v>12500.303737535512</v>
      </c>
      <c r="L253" s="30">
        <f>SUM(L250:L252)</f>
        <v>12638.630313974314</v>
      </c>
      <c r="M253" s="30">
        <f>SUM(M250:M252)</f>
        <v>13123.170419080654</v>
      </c>
      <c r="N253" s="30"/>
      <c r="O253" s="438"/>
    </row>
    <row r="254" s="23" customFormat="1" ht="15" customHeight="1" outlineLevel="1">
      <c r="B254" s="11"/>
      <c r="C254" s="12"/>
      <c r="D254" s="14"/>
      <c r="E254" s="14"/>
      <c r="F254" s="14"/>
      <c r="G254" s="14"/>
      <c r="H254" s="242"/>
      <c r="I254" s="30"/>
      <c r="J254" s="30"/>
      <c r="K254" s="30"/>
      <c r="L254" s="30"/>
      <c r="M254" s="30"/>
      <c r="N254" s="30"/>
      <c r="O254" s="59"/>
    </row>
    <row r="255" s="23" customFormat="1" ht="15" customHeight="1" outlineLevel="1">
      <c r="B255" s="241" t="s">
        <v>271</v>
      </c>
      <c r="C255" s="12"/>
      <c r="D255" s="14"/>
      <c r="E255" s="14"/>
      <c r="F255" s="14"/>
      <c r="G255" s="14"/>
      <c r="H255" s="242"/>
      <c r="I255" s="30"/>
      <c r="J255" s="30"/>
      <c r="K255" s="30"/>
      <c r="L255" s="30"/>
      <c r="M255" s="30"/>
      <c r="N255" s="30"/>
      <c r="O255" s="59"/>
    </row>
    <row r="256" s="23" customFormat="1" ht="15" customHeight="1" outlineLevel="1">
      <c r="B256" s="284" t="s">
        <v>270</v>
      </c>
      <c r="C256" s="12"/>
      <c r="D256" s="14"/>
      <c r="E256" s="14"/>
      <c r="F256" s="14"/>
      <c r="G256" s="14"/>
      <c r="H256" s="30"/>
      <c r="I256" s="30">
        <f>I253</f>
        <v>12578.494938500002</v>
      </c>
      <c r="J256" s="30">
        <f>J253</f>
        <v>12483.153829351912</v>
      </c>
      <c r="K256" s="30">
        <f>K253</f>
        <v>12500.303737535512</v>
      </c>
      <c r="L256" s="30">
        <f>L253</f>
        <v>12638.630313974314</v>
      </c>
      <c r="M256" s="30">
        <f>M253</f>
        <v>13123.170419080654</v>
      </c>
      <c r="N256" s="30"/>
      <c r="O256" s="59"/>
    </row>
    <row r="257" s="23" customFormat="1" ht="15" customHeight="1" outlineLevel="1">
      <c r="B257" s="287" t="s">
        <v>272</v>
      </c>
      <c r="C257" s="12"/>
      <c r="D257" s="14"/>
      <c r="E257" s="14"/>
      <c r="F257" s="14"/>
      <c r="G257" s="14"/>
      <c r="H257" s="242"/>
      <c r="I257" s="545">
        <f>I263</f>
        <v>-12578.494938500002</v>
      </c>
      <c r="J257" s="545">
        <f>J263</f>
        <v>-11549.505061499998</v>
      </c>
      <c r="K257" s="545">
        <f>K263</f>
        <v>0</v>
      </c>
      <c r="L257" s="545">
        <f>L263</f>
        <v>0</v>
      </c>
      <c r="M257" s="545">
        <f>M263</f>
        <v>0</v>
      </c>
      <c r="N257" s="30"/>
      <c r="O257" s="59"/>
    </row>
    <row r="258" s="23" customFormat="1" ht="15" customHeight="1" outlineLevel="1">
      <c r="B258" s="284" t="s">
        <v>273</v>
      </c>
      <c r="C258" s="12"/>
      <c r="D258" s="14"/>
      <c r="E258" s="14"/>
      <c r="F258" s="14"/>
      <c r="G258" s="14"/>
      <c r="H258" s="242"/>
      <c r="I258" s="30">
        <f>MAX(SUM(I256:I257),0)</f>
        <v>0</v>
      </c>
      <c r="J258" s="30">
        <f>MAX(SUM(J256:J257),0)</f>
        <v>933.64876785191336</v>
      </c>
      <c r="K258" s="30">
        <f>MAX(SUM(K256:K257),0)</f>
        <v>12500.303737535512</v>
      </c>
      <c r="L258" s="30">
        <f>MAX(SUM(L256:L257),0)</f>
        <v>12638.630313974314</v>
      </c>
      <c r="M258" s="30">
        <f>MAX(SUM(M256:M257),0)</f>
        <v>13123.170419080654</v>
      </c>
      <c r="N258" s="30"/>
      <c r="O258" s="438"/>
    </row>
    <row r="259" s="23" customFormat="1" ht="15" customHeight="1" outlineLevel="1">
      <c r="B259" s="11"/>
      <c r="C259" s="12"/>
      <c r="D259" s="14"/>
      <c r="E259" s="14"/>
      <c r="F259" s="14"/>
      <c r="G259" s="14"/>
      <c r="H259" s="242"/>
      <c r="I259" s="242"/>
      <c r="J259" s="242"/>
      <c r="K259" s="242"/>
      <c r="L259" s="242"/>
      <c r="M259" s="242"/>
      <c r="N259" s="242"/>
      <c r="O259" s="438"/>
    </row>
    <row r="260" s="23" customFormat="1" ht="15" customHeight="1" outlineLevel="1">
      <c r="B260" s="241" t="s">
        <v>274</v>
      </c>
      <c r="C260" s="12"/>
      <c r="D260" s="14"/>
      <c r="E260" s="14"/>
      <c r="F260" s="14"/>
      <c r="G260" s="14"/>
      <c r="H260" s="242"/>
      <c r="I260" s="242"/>
      <c r="J260" s="242"/>
      <c r="K260" s="242"/>
      <c r="L260" s="242"/>
      <c r="M260" s="242"/>
      <c r="N260" s="242"/>
      <c r="O260" s="438"/>
    </row>
    <row r="261" s="23" customFormat="1" ht="15" customHeight="1" outlineLevel="1">
      <c r="B261" s="284" t="s">
        <v>236</v>
      </c>
      <c r="C261" s="12"/>
      <c r="D261" s="14"/>
      <c r="E261" s="14"/>
      <c r="F261" s="14"/>
      <c r="G261" s="14"/>
      <c r="H261" s="242"/>
      <c r="I261" s="30">
        <f>H264</f>
        <v>24128</v>
      </c>
      <c r="J261" s="30">
        <f>I264</f>
        <v>11549.505061499998</v>
      </c>
      <c r="K261" s="30">
        <f>J264</f>
        <v>0</v>
      </c>
      <c r="L261" s="30">
        <f>K264</f>
        <v>0</v>
      </c>
      <c r="M261" s="30">
        <f>L264</f>
        <v>0</v>
      </c>
      <c r="N261" s="30"/>
      <c r="O261" s="438"/>
    </row>
    <row r="262" s="23" customFormat="1" ht="15" customHeight="1" outlineLevel="1">
      <c r="B262" s="284" t="s">
        <v>275</v>
      </c>
      <c r="C262" s="12"/>
      <c r="D262" s="14"/>
      <c r="E262" s="14"/>
      <c r="F262" s="14"/>
      <c r="G262" s="14"/>
      <c r="H262" s="242"/>
      <c r="I262" s="30">
        <f>-MIN(I250,0)</f>
        <v>0</v>
      </c>
      <c r="J262" s="30">
        <f>-MIN(J250,0)</f>
        <v>0</v>
      </c>
      <c r="K262" s="30">
        <f>-MIN(K250,0)</f>
        <v>0</v>
      </c>
      <c r="L262" s="30">
        <f>-MIN(L250,0)</f>
        <v>0</v>
      </c>
      <c r="M262" s="30">
        <f>-MIN(M250,0)</f>
        <v>0</v>
      </c>
      <c r="N262" s="30"/>
      <c r="O262" s="438"/>
    </row>
    <row r="263" s="23" customFormat="1" ht="15" customHeight="1" outlineLevel="1">
      <c r="B263" s="287" t="s">
        <v>276</v>
      </c>
      <c r="C263" s="12"/>
      <c r="D263" s="14"/>
      <c r="E263" s="14"/>
      <c r="F263" s="14"/>
      <c r="G263" s="14"/>
      <c r="H263" s="290"/>
      <c r="I263" s="545">
        <f>-MIN(I261,I256)*I243</f>
        <v>-12578.494938500002</v>
      </c>
      <c r="J263" s="545">
        <f>-MIN(J261,J256)*J243</f>
        <v>-11549.505061499998</v>
      </c>
      <c r="K263" s="545">
        <f>-MIN(K261,K256)*K243</f>
        <v>0</v>
      </c>
      <c r="L263" s="545">
        <f>-MIN(L261,L256)*L243</f>
        <v>0</v>
      </c>
      <c r="M263" s="545">
        <f>-MIN(M261,M256)*M243</f>
        <v>0</v>
      </c>
      <c r="N263" s="30"/>
      <c r="O263" s="438"/>
    </row>
    <row r="264" s="23" customFormat="1" ht="15" customHeight="1" outlineLevel="1">
      <c r="B264" s="284" t="s">
        <v>238</v>
      </c>
      <c r="C264" s="12"/>
      <c r="D264" s="14"/>
      <c r="E264" s="14"/>
      <c r="F264" s="14"/>
      <c r="G264" s="14"/>
      <c r="H264" s="30">
        <f>Inputs!L105</f>
        <v>24128</v>
      </c>
      <c r="I264" s="30">
        <f>SUM(I261:I263)</f>
        <v>11549.505061499998</v>
      </c>
      <c r="J264" s="30">
        <f>SUM(J261:J263)</f>
        <v>0</v>
      </c>
      <c r="K264" s="30">
        <f>SUM(K261:K263)</f>
        <v>0</v>
      </c>
      <c r="L264" s="30">
        <f>SUM(L261:L263)</f>
        <v>0</v>
      </c>
      <c r="M264" s="30">
        <f>SUM(M261:M263)</f>
        <v>0</v>
      </c>
      <c r="N264" s="30"/>
      <c r="O264" s="59"/>
    </row>
    <row r="265" s="23" customFormat="1" ht="15" customHeight="1" outlineLevel="1">
      <c r="B265" s="11"/>
      <c r="C265" s="12"/>
      <c r="D265" s="14"/>
      <c r="E265" s="14"/>
      <c r="F265" s="14"/>
      <c r="G265" s="14"/>
      <c r="H265" s="242"/>
      <c r="I265" s="242"/>
      <c r="J265" s="242"/>
      <c r="K265" s="242"/>
      <c r="L265" s="242"/>
      <c r="M265" s="242"/>
      <c r="N265" s="242"/>
      <c r="O265" s="438"/>
    </row>
    <row r="266" s="23" customFormat="1" ht="15" customHeight="1" outlineLevel="1">
      <c r="B266" s="500"/>
      <c r="C266" s="564"/>
      <c r="D266" s="501"/>
      <c r="E266" s="501"/>
      <c r="F266" s="501"/>
      <c r="G266" s="501"/>
      <c r="H266" s="290"/>
      <c r="I266" s="290"/>
      <c r="J266" s="290"/>
      <c r="K266" s="290"/>
      <c r="L266" s="290"/>
      <c r="M266" s="290"/>
      <c r="N266" s="242"/>
      <c r="O266" s="438"/>
    </row>
    <row r="267" s="23" customFormat="1" ht="15" customHeight="1" outlineLevel="1">
      <c r="B267" s="11"/>
      <c r="C267" s="12"/>
      <c r="D267" s="14"/>
      <c r="E267" s="14"/>
      <c r="F267" s="14"/>
      <c r="G267" s="14"/>
      <c r="H267" s="242"/>
      <c r="I267" s="242"/>
      <c r="J267" s="242"/>
      <c r="K267" s="242"/>
      <c r="L267" s="242"/>
      <c r="M267" s="242"/>
      <c r="N267" s="242"/>
      <c r="O267" s="438"/>
    </row>
    <row r="268" s="23" customFormat="1" ht="15" customHeight="1" outlineLevel="1">
      <c r="B268" s="61" t="s">
        <v>277</v>
      </c>
      <c r="C268" s="12"/>
      <c r="D268" s="14"/>
      <c r="E268" s="14"/>
      <c r="F268" s="14"/>
      <c r="G268" s="14"/>
      <c r="H268" s="242"/>
      <c r="I268" s="242"/>
      <c r="J268" s="242"/>
      <c r="K268" s="242"/>
      <c r="L268" s="242"/>
      <c r="M268" s="242"/>
      <c r="N268" s="242"/>
      <c r="O268" s="438"/>
    </row>
    <row r="269" s="23" customFormat="1" ht="15" customHeight="1" outlineLevel="1">
      <c r="B269" s="284" t="s">
        <v>278</v>
      </c>
      <c r="C269" s="12"/>
      <c r="D269" s="14"/>
      <c r="E269" s="14"/>
      <c r="F269" s="289"/>
      <c r="G269" s="289"/>
      <c r="H269" s="30"/>
      <c r="I269" s="30">
        <f>$D$245*I258</f>
        <v>0</v>
      </c>
      <c r="J269" s="30">
        <f>$D$245*J258</f>
        <v>233.41219196297834</v>
      </c>
      <c r="K269" s="30">
        <f>$D$245*K258</f>
        <v>3125.0759343838781</v>
      </c>
      <c r="L269" s="30">
        <f>$D$245*L258</f>
        <v>3159.6575784935785</v>
      </c>
      <c r="M269" s="30">
        <f>$D$245*M258</f>
        <v>3280.7926047701635</v>
      </c>
      <c r="N269" s="30"/>
    </row>
    <row r="270" s="23" customFormat="1" ht="15" customHeight="1" outlineLevel="1">
      <c r="B270" s="284" t="s">
        <v>178</v>
      </c>
      <c r="C270" s="12"/>
      <c r="D270" s="14"/>
      <c r="E270" s="14"/>
      <c r="F270" s="14"/>
      <c r="G270" s="14"/>
      <c r="H270" s="242"/>
      <c r="I270" s="30">
        <f>I271-I269</f>
        <v>3561.8018596249999</v>
      </c>
      <c r="J270" s="30">
        <f>J271-J269</f>
        <v>3280.8675153749996</v>
      </c>
      <c r="K270" s="30">
        <f>K271-K269</f>
        <v>343.98240625000017</v>
      </c>
      <c r="L270" s="30">
        <f>L271-L269</f>
        <v>248.46238906249982</v>
      </c>
      <c r="M270" s="30">
        <f>M271-M269</f>
        <v>104.14537445312453</v>
      </c>
      <c r="N270" s="30"/>
    </row>
    <row r="271" s="23" customFormat="1" ht="15" customHeight="1" outlineLevel="1">
      <c r="B271" s="284" t="s">
        <v>279</v>
      </c>
      <c r="C271" s="12"/>
      <c r="D271" s="14"/>
      <c r="E271" s="14"/>
      <c r="F271" s="14"/>
      <c r="G271" s="14"/>
      <c r="H271" s="242"/>
      <c r="I271" s="864">
        <f>MAX($D$245*I250,0)</f>
        <v>3561.8018596249999</v>
      </c>
      <c r="J271" s="864">
        <f>MAX($D$245*J250,0)</f>
        <v>3514.2797073379779</v>
      </c>
      <c r="K271" s="864">
        <f>MAX($D$245*K250,0)</f>
        <v>3469.0583406338783</v>
      </c>
      <c r="L271" s="864">
        <f>MAX($D$245*L250,0)</f>
        <v>3408.1199675560783</v>
      </c>
      <c r="M271" s="864">
        <f>MAX($D$245*M250,0)</f>
        <v>3384.937979223288</v>
      </c>
      <c r="N271" s="30"/>
      <c r="S271" s="870" t="str">
        <f>IF(SUM(S241:S252)=3,"COMPLETE","")</f>
        <v>COMPLETE</v>
      </c>
    </row>
    <row r="272" s="23" customFormat="1" ht="15" customHeight="1" outlineLevel="1">
      <c r="B272" s="11"/>
      <c r="C272" s="12"/>
      <c r="D272" s="14"/>
      <c r="E272" s="14"/>
      <c r="F272" s="14"/>
      <c r="G272" s="14"/>
      <c r="H272" s="14"/>
      <c r="I272" s="16"/>
      <c r="J272" s="16"/>
      <c r="K272" s="16"/>
      <c r="L272" s="16"/>
      <c r="M272" s="16"/>
      <c r="O272" s="59"/>
    </row>
    <row r="273" s="4" customFormat="1" ht="15" customHeight="1" outlineLevel="1">
      <c r="B273" s="414"/>
      <c r="C273" s="414"/>
      <c r="D273" s="67"/>
      <c r="E273" s="67"/>
      <c r="F273" s="438"/>
      <c r="G273" s="438"/>
      <c r="H273" s="438"/>
      <c r="I273" s="565"/>
      <c r="J273" s="565"/>
      <c r="K273" s="565"/>
      <c r="L273" s="565"/>
      <c r="M273" s="565"/>
      <c r="N273" s="565"/>
      <c r="O273" s="4"/>
    </row>
    <row r="274" s="23" customFormat="1" ht="15" customHeight="1" outlineLevel="1">
      <c r="C274" s="12"/>
      <c r="D274" s="14"/>
      <c r="E274" s="14"/>
      <c r="F274" s="14"/>
      <c r="G274" s="14"/>
      <c r="H274" s="14"/>
      <c r="I274" s="16"/>
      <c r="J274" s="16"/>
      <c r="K274" s="16"/>
      <c r="L274" s="16"/>
      <c r="M274" s="132" t="s">
        <v>280</v>
      </c>
      <c r="O274" s="59"/>
    </row>
    <row r="275" s="23" customFormat="1" ht="15" customHeight="1" outlineLevel="1">
      <c r="C275" s="12"/>
      <c r="D275" s="14"/>
      <c r="E275" s="14"/>
      <c r="F275" s="14"/>
      <c r="G275" s="14"/>
      <c r="H275" s="14"/>
      <c r="I275" s="16"/>
      <c r="J275" s="16"/>
      <c r="K275" s="16"/>
      <c r="L275" s="16"/>
      <c r="M275" s="535" t="s">
        <v>281</v>
      </c>
      <c r="O275" s="59"/>
    </row>
    <row r="276" s="23" customFormat="1" ht="15" customHeight="1" outlineLevel="1">
      <c r="C276" s="12"/>
      <c r="D276" s="14"/>
      <c r="E276" s="14"/>
      <c r="F276" s="14"/>
      <c r="G276" s="14"/>
      <c r="H276" s="14"/>
      <c r="I276" s="16"/>
      <c r="J276" s="16"/>
      <c r="K276" s="16"/>
      <c r="L276" s="16"/>
      <c r="M276" s="566"/>
      <c r="O276" s="59"/>
    </row>
    <row r="277" s="23" customFormat="1" ht="15" customHeight="1" outlineLevel="1">
      <c r="B277" s="500"/>
      <c r="C277" s="281"/>
      <c r="D277" s="501"/>
      <c r="E277" s="501"/>
      <c r="F277" s="501"/>
      <c r="G277" s="501"/>
      <c r="H277" s="501"/>
      <c r="I277" s="502"/>
      <c r="J277" s="502"/>
      <c r="K277" s="502"/>
      <c r="L277" s="502"/>
      <c r="M277" s="502"/>
      <c r="N277" s="502"/>
      <c r="O277" s="438"/>
    </row>
    <row r="278" s="23" customFormat="1" ht="15" customHeight="1">
      <c r="B278" s="11"/>
      <c r="C278" s="12"/>
      <c r="D278" s="14"/>
      <c r="E278" s="14"/>
      <c r="F278" s="14"/>
      <c r="G278" s="14"/>
      <c r="H278" s="14"/>
      <c r="I278" s="16"/>
      <c r="J278" s="16"/>
      <c r="K278" s="16"/>
      <c r="L278" s="16"/>
      <c r="M278" s="16"/>
      <c r="N278" s="16"/>
      <c r="O278" s="438"/>
    </row>
    <row r="279" s="23" customFormat="1" ht="15" customHeight="1">
      <c r="A279" s="23" t="s">
        <v>0</v>
      </c>
      <c r="B279" s="6" t="s">
        <v>282</v>
      </c>
      <c r="C279" s="7"/>
      <c r="D279" s="459"/>
      <c r="E279" s="459"/>
      <c r="F279" s="9"/>
      <c r="G279" s="9"/>
      <c r="H279" s="9"/>
      <c r="I279" s="460"/>
      <c r="J279" s="461"/>
      <c r="K279" s="461"/>
      <c r="L279" s="461"/>
      <c r="M279" s="461"/>
      <c r="N279" s="401"/>
      <c r="O279" s="438"/>
    </row>
    <row r="280" s="23" customFormat="1" ht="15" customHeight="1" outlineLevel="1">
      <c r="B280" s="176"/>
      <c r="C280" s="12"/>
      <c r="D280" s="13"/>
      <c r="E280" s="13"/>
      <c r="F280" s="10"/>
      <c r="G280" s="10"/>
      <c r="H280" s="10"/>
      <c r="I280" s="10"/>
      <c r="J280" s="10"/>
      <c r="K280" s="10"/>
      <c r="L280" s="10"/>
      <c r="M280" s="10"/>
      <c r="O280" s="477"/>
    </row>
    <row r="281" s="23" customFormat="1" ht="15" customHeight="1" outlineLevel="1">
      <c r="B281" s="11" t="s">
        <v>3</v>
      </c>
      <c r="C281" s="12"/>
      <c r="D281" s="14"/>
      <c r="E281" s="14"/>
      <c r="F281" s="14"/>
      <c r="G281" s="14"/>
      <c r="H281" s="837">
        <f t="shared" ref="H281:M281" si="396">H$5</f>
        <v>2022</v>
      </c>
      <c r="I281" s="177">
        <f t="shared" si="396"/>
        <v>2023</v>
      </c>
      <c r="J281" s="177">
        <f t="shared" si="396"/>
        <v>2024</v>
      </c>
      <c r="K281" s="177">
        <f t="shared" si="396"/>
        <v>2025</v>
      </c>
      <c r="L281" s="177">
        <f t="shared" si="396"/>
        <v>2026</v>
      </c>
      <c r="M281" s="177">
        <f t="shared" si="396"/>
        <v>2027</v>
      </c>
      <c r="N281" s="16"/>
      <c r="O281" s="438"/>
    </row>
    <row r="282" ht="15" customHeight="1" outlineLevel="1">
      <c r="A282" s="4"/>
      <c r="B282" s="11" t="str">
        <f>$B$6</f>
        <v xml:space="preserve">Model Running: Base Case Drivers</v>
      </c>
      <c r="C282" s="12"/>
      <c r="D282" s="14"/>
      <c r="E282" s="14"/>
      <c r="F282" s="14"/>
      <c r="G282" s="14"/>
      <c r="H282" s="14"/>
      <c r="I282" s="16"/>
      <c r="J282" s="16"/>
      <c r="K282" s="16"/>
      <c r="L282" s="16"/>
      <c r="M282" s="16"/>
      <c r="N282" s="16"/>
    </row>
    <row r="283" s="23" customFormat="1" ht="15" customHeight="1" outlineLevel="1">
      <c r="B283" s="11"/>
      <c r="C283" s="12"/>
      <c r="D283" s="14"/>
      <c r="E283" s="14"/>
      <c r="F283" s="14"/>
      <c r="G283" s="14"/>
      <c r="H283" s="14"/>
      <c r="I283" s="16"/>
      <c r="J283" s="16"/>
      <c r="K283" s="16"/>
      <c r="L283" s="16"/>
      <c r="M283" s="16"/>
      <c r="O283" s="438"/>
      <c r="Q283" s="25" t="s">
        <v>6</v>
      </c>
      <c r="R283" s="26" t="s">
        <v>7</v>
      </c>
      <c r="S283" s="27" t="s">
        <v>8</v>
      </c>
    </row>
    <row r="284" s="23" customFormat="1" ht="15" customHeight="1" outlineLevel="1">
      <c r="B284" s="73" t="s">
        <v>283</v>
      </c>
      <c r="C284" s="12"/>
      <c r="D284" s="14"/>
      <c r="E284" s="14"/>
      <c r="F284" s="289"/>
      <c r="G284" s="289"/>
      <c r="H284" s="30"/>
      <c r="I284" s="902">
        <f>Model!I30</f>
        <v>15273.107447499999</v>
      </c>
      <c r="J284" s="944">
        <f>Model!J30</f>
        <v>14876.452040925004</v>
      </c>
      <c r="K284" s="944">
        <f>Model!K30</f>
        <v>14495.322237052755</v>
      </c>
      <c r="L284" s="944">
        <f>Model!L30</f>
        <v>14077.546010577073</v>
      </c>
      <c r="M284" s="903">
        <f>Model!M30</f>
        <v>13749.433762640969</v>
      </c>
      <c r="N284" s="30"/>
      <c r="O284" s="59"/>
      <c r="Q284" s="891">
        <f>SUM(Model!I378:N378)</f>
        <v>72471.861498695798</v>
      </c>
      <c r="R284" s="892">
        <f>SUM(I284:N284)</f>
        <v>72471.861498695798</v>
      </c>
      <c r="S284" s="33">
        <f>IF(ISBLANK(Model!I378),0,IF(Q284=R284,1,0))</f>
        <v>1</v>
      </c>
    </row>
    <row r="285" s="23" customFormat="1" ht="15" customHeight="1" outlineLevel="1">
      <c r="B285" s="73" t="s">
        <v>265</v>
      </c>
      <c r="C285" s="12"/>
      <c r="D285" s="14"/>
      <c r="E285" s="14"/>
      <c r="F285" s="14"/>
      <c r="G285" s="14"/>
      <c r="H285" s="14"/>
      <c r="I285" s="945">
        <f>IF(I295&gt;0,1,0)</f>
        <v>1</v>
      </c>
      <c r="J285" s="946">
        <f>IF(J295&gt;0,1,0)</f>
        <v>1</v>
      </c>
      <c r="K285" s="946">
        <f>IF(K295&gt;0,1,0)</f>
        <v>1</v>
      </c>
      <c r="L285" s="946">
        <f>IF(L295&gt;0,1,0)</f>
        <v>1</v>
      </c>
      <c r="M285" s="947">
        <f>IF(M295&gt;0,1,0)</f>
        <v>1</v>
      </c>
      <c r="N285" s="948"/>
      <c r="O285" s="59"/>
    </row>
    <row r="286" s="23" customFormat="1" ht="15" customHeight="1" outlineLevel="1">
      <c r="B286" s="11"/>
      <c r="C286" s="12"/>
      <c r="D286" s="14"/>
      <c r="E286" s="14"/>
      <c r="F286" s="14"/>
      <c r="G286" s="14"/>
      <c r="H286" s="14"/>
      <c r="I286" s="16"/>
      <c r="J286" s="16"/>
      <c r="K286" s="16"/>
      <c r="L286" s="16"/>
      <c r="M286" s="16"/>
      <c r="O286" s="59"/>
    </row>
    <row r="287" s="23" customFormat="1" ht="15" customHeight="1" outlineLevel="1">
      <c r="B287" s="390" t="s">
        <v>101</v>
      </c>
      <c r="C287" s="558"/>
      <c r="D287" s="949">
        <f>$C$101</f>
        <v>0.25</v>
      </c>
      <c r="E287" s="14"/>
      <c r="F287" s="14"/>
      <c r="G287" s="14"/>
      <c r="H287" s="14"/>
      <c r="I287" s="16"/>
      <c r="J287" s="16"/>
      <c r="K287" s="16"/>
      <c r="L287" s="16"/>
      <c r="M287" s="16"/>
      <c r="O287" s="59"/>
    </row>
    <row r="288" ht="15" customHeight="1" outlineLevel="1">
      <c r="A288" s="23"/>
      <c r="B288" s="560" t="s">
        <v>266</v>
      </c>
      <c r="C288" s="281"/>
      <c r="D288" s="950">
        <f>IF(M306=0,0,1)</f>
        <v>0</v>
      </c>
      <c r="E288" s="14"/>
      <c r="F288" s="30"/>
      <c r="G288" s="30"/>
      <c r="H288" s="30"/>
      <c r="I288" s="30"/>
      <c r="J288" s="30"/>
      <c r="K288" s="30"/>
      <c r="L288" s="30"/>
      <c r="O288" s="59"/>
    </row>
    <row r="289" s="23" customFormat="1" ht="15" customHeight="1" outlineLevel="1">
      <c r="B289" s="11"/>
      <c r="C289" s="12"/>
      <c r="D289" s="563"/>
      <c r="E289" s="14"/>
      <c r="F289" s="14"/>
      <c r="G289" s="14"/>
      <c r="H289" s="14"/>
      <c r="I289" s="16"/>
      <c r="J289" s="16"/>
      <c r="K289" s="16"/>
      <c r="L289" s="16"/>
      <c r="M289" s="16"/>
    </row>
    <row r="290" s="23" customFormat="1" ht="15" customHeight="1" outlineLevel="1">
      <c r="B290" s="11"/>
      <c r="C290" s="12"/>
      <c r="D290" s="563"/>
      <c r="E290" s="14"/>
      <c r="F290" s="14"/>
      <c r="G290" s="14"/>
      <c r="H290" s="14"/>
      <c r="I290" s="16"/>
      <c r="J290" s="16"/>
      <c r="K290" s="16"/>
      <c r="L290" s="16"/>
      <c r="M290" s="16"/>
    </row>
    <row r="291" s="23" customFormat="1" ht="15" customHeight="1" outlineLevel="1">
      <c r="B291" s="61" t="s">
        <v>267</v>
      </c>
      <c r="C291" s="12"/>
      <c r="D291" s="14"/>
      <c r="E291" s="14"/>
      <c r="F291" s="14"/>
      <c r="G291" s="14"/>
      <c r="H291" s="242"/>
      <c r="I291" s="242"/>
      <c r="J291" s="242"/>
      <c r="K291" s="242"/>
      <c r="L291" s="242"/>
      <c r="M291" s="242"/>
      <c r="O291" s="438"/>
    </row>
    <row r="292" s="23" customFormat="1" ht="15" customHeight="1" outlineLevel="1">
      <c r="B292" s="284" t="s">
        <v>168</v>
      </c>
      <c r="C292" s="12"/>
      <c r="D292" s="14"/>
      <c r="E292" s="14"/>
      <c r="F292" s="289"/>
      <c r="G292" s="289"/>
      <c r="H292" s="30"/>
      <c r="I292" s="30">
        <f>I284</f>
        <v>15273.107447499999</v>
      </c>
      <c r="J292" s="30">
        <f>J284</f>
        <v>14876.452040925004</v>
      </c>
      <c r="K292" s="30">
        <f>K284</f>
        <v>14495.322237052755</v>
      </c>
      <c r="L292" s="30">
        <f>L284</f>
        <v>14077.546010577073</v>
      </c>
      <c r="M292" s="30">
        <f>M284</f>
        <v>13749.433762640969</v>
      </c>
      <c r="N292" s="30"/>
      <c r="O292" s="438"/>
      <c r="Q292" s="39" t="s">
        <v>6</v>
      </c>
      <c r="R292" s="40" t="s">
        <v>7</v>
      </c>
      <c r="S292" s="41" t="s">
        <v>8</v>
      </c>
    </row>
    <row r="293" s="23" customFormat="1" ht="15" customHeight="1" outlineLevel="1">
      <c r="B293" s="284" t="s">
        <v>268</v>
      </c>
      <c r="C293" s="12"/>
      <c r="D293" s="14"/>
      <c r="E293" s="14"/>
      <c r="F293" s="14"/>
      <c r="G293" s="14"/>
      <c r="H293" s="242"/>
      <c r="I293" s="901">
        <f>Model!I197</f>
        <v>4962.9375</v>
      </c>
      <c r="J293" s="901">
        <f>Model!J197</f>
        <v>5412.9375</v>
      </c>
      <c r="K293" s="901">
        <f>Model!K197</f>
        <v>5837.9375</v>
      </c>
      <c r="L293" s="901">
        <f>Model!L197</f>
        <v>6187.9375</v>
      </c>
      <c r="M293" s="901">
        <f>Model!M197</f>
        <v>6437.9375</v>
      </c>
      <c r="N293" s="30"/>
      <c r="O293" s="59"/>
      <c r="Q293" s="51">
        <f>SUM(Model!I387:M387)</f>
        <v>28839.6875</v>
      </c>
      <c r="R293" s="52">
        <f>SUM(I293:M293)</f>
        <v>28839.6875</v>
      </c>
      <c r="S293" s="53">
        <f>IF(ISBLANK(Model!I387),0,IF(Q293=R293,1,0))</f>
        <v>1</v>
      </c>
    </row>
    <row r="294" s="23" customFormat="1" ht="15" customHeight="1" outlineLevel="1">
      <c r="B294" s="284" t="s">
        <v>269</v>
      </c>
      <c r="C294" s="12"/>
      <c r="D294" s="14"/>
      <c r="E294" s="14"/>
      <c r="F294" s="14"/>
      <c r="G294" s="14"/>
      <c r="H294" s="242"/>
      <c r="I294" s="943">
        <f>Model!I$226</f>
        <v>-6631.6499999999996</v>
      </c>
      <c r="J294" s="943">
        <f>Model!J$226</f>
        <v>-6986.9024999999992</v>
      </c>
      <c r="K294" s="943">
        <f>Model!K$226</f>
        <v>-7213.8671249999998</v>
      </c>
      <c r="L294" s="943">
        <f>Model!L$226</f>
        <v>-7181.7870562500002</v>
      </c>
      <c r="M294" s="943">
        <f>Model!M$226</f>
        <v>-6854.5189978124999</v>
      </c>
      <c r="N294" s="30"/>
      <c r="O294" s="59"/>
      <c r="Q294" s="70">
        <f>SUM(Model!I388:N388)</f>
        <v>-34868.725679062496</v>
      </c>
      <c r="R294" s="71">
        <f>SUM(I294:N294)</f>
        <v>-34868.725679062496</v>
      </c>
      <c r="S294" s="72">
        <f>IF(ISBLANK(Model!I388),0,IF(Q294=R294,1,0))</f>
        <v>1</v>
      </c>
    </row>
    <row r="295" s="23" customFormat="1" ht="15" customHeight="1" outlineLevel="1">
      <c r="B295" s="284" t="s">
        <v>284</v>
      </c>
      <c r="C295" s="12"/>
      <c r="D295" s="14"/>
      <c r="E295" s="14"/>
      <c r="F295" s="289"/>
      <c r="G295" s="289"/>
      <c r="H295" s="30"/>
      <c r="I295" s="30">
        <f>SUM(I292:I294)</f>
        <v>13604.394947499999</v>
      </c>
      <c r="J295" s="30">
        <f>SUM(J292:J294)</f>
        <v>13302.487040925003</v>
      </c>
      <c r="K295" s="30">
        <f>SUM(K292:K294)</f>
        <v>13119.392612052754</v>
      </c>
      <c r="L295" s="30">
        <f>SUM(L292:L294)</f>
        <v>13083.696454327073</v>
      </c>
      <c r="M295" s="30">
        <f>SUM(M292:M294)</f>
        <v>13332.852264828469</v>
      </c>
      <c r="N295" s="30"/>
      <c r="O295" s="438"/>
    </row>
    <row r="296" s="23" customFormat="1" ht="15" customHeight="1" outlineLevel="1">
      <c r="B296" s="11"/>
      <c r="C296" s="12"/>
      <c r="D296" s="14"/>
      <c r="E296" s="14"/>
      <c r="F296" s="14"/>
      <c r="G296" s="14"/>
      <c r="H296" s="242"/>
      <c r="I296" s="30"/>
      <c r="J296" s="30"/>
      <c r="K296" s="30"/>
      <c r="L296" s="30"/>
      <c r="M296" s="30"/>
      <c r="N296" s="30"/>
      <c r="O296" s="59"/>
    </row>
    <row r="297" s="23" customFormat="1" ht="15" customHeight="1" outlineLevel="1">
      <c r="B297" s="241" t="s">
        <v>271</v>
      </c>
      <c r="C297" s="12"/>
      <c r="D297" s="14"/>
      <c r="E297" s="14"/>
      <c r="F297" s="14"/>
      <c r="G297" s="14"/>
      <c r="H297" s="242"/>
      <c r="I297" s="30"/>
      <c r="J297" s="30"/>
      <c r="K297" s="30"/>
      <c r="L297" s="30"/>
      <c r="M297" s="30"/>
      <c r="N297" s="30"/>
      <c r="O297" s="59"/>
    </row>
    <row r="298" s="23" customFormat="1" ht="15" customHeight="1" outlineLevel="1">
      <c r="B298" s="284" t="s">
        <v>284</v>
      </c>
      <c r="C298" s="12"/>
      <c r="D298" s="14"/>
      <c r="E298" s="14"/>
      <c r="F298" s="289"/>
      <c r="G298" s="289"/>
      <c r="H298" s="30"/>
      <c r="I298" s="30">
        <f>I295</f>
        <v>13604.394947499999</v>
      </c>
      <c r="J298" s="30">
        <f>J295</f>
        <v>13302.487040925003</v>
      </c>
      <c r="K298" s="30">
        <f>K295</f>
        <v>13119.392612052754</v>
      </c>
      <c r="L298" s="30">
        <f>L295</f>
        <v>13083.696454327073</v>
      </c>
      <c r="M298" s="30">
        <f>M295</f>
        <v>13332.852264828469</v>
      </c>
      <c r="N298" s="30"/>
      <c r="O298" s="59"/>
    </row>
    <row r="299" s="23" customFormat="1" ht="15" customHeight="1" outlineLevel="1">
      <c r="B299" s="287" t="s">
        <v>272</v>
      </c>
      <c r="C299" s="12"/>
      <c r="D299" s="14"/>
      <c r="E299" s="14"/>
      <c r="F299" s="14"/>
      <c r="G299" s="14"/>
      <c r="H299" s="242"/>
      <c r="I299" s="545">
        <f>I305</f>
        <v>-13604.394947499999</v>
      </c>
      <c r="J299" s="545">
        <f>J305</f>
        <v>-10523.605052500001</v>
      </c>
      <c r="K299" s="545">
        <f>K305</f>
        <v>0</v>
      </c>
      <c r="L299" s="545">
        <f>L305</f>
        <v>0</v>
      </c>
      <c r="M299" s="545">
        <f>M305</f>
        <v>0</v>
      </c>
      <c r="N299" s="30"/>
      <c r="O299" s="59"/>
    </row>
    <row r="300" s="23" customFormat="1" ht="15" customHeight="1" outlineLevel="1">
      <c r="B300" s="284" t="s">
        <v>273</v>
      </c>
      <c r="C300" s="12"/>
      <c r="D300" s="14"/>
      <c r="E300" s="14"/>
      <c r="F300" s="14"/>
      <c r="G300" s="14"/>
      <c r="H300" s="242"/>
      <c r="I300" s="30">
        <f>MAX(SUM(I298:I299),0)</f>
        <v>0</v>
      </c>
      <c r="J300" s="30">
        <f>MAX(SUM(J298:J299),0)</f>
        <v>2778.8819884250024</v>
      </c>
      <c r="K300" s="30">
        <f>MAX(SUM(K298:K299),0)</f>
        <v>13119.392612052754</v>
      </c>
      <c r="L300" s="30">
        <f>MAX(SUM(L298:L299),0)</f>
        <v>13083.696454327073</v>
      </c>
      <c r="M300" s="30">
        <f>MAX(SUM(M298:M299),0)</f>
        <v>13332.852264828469</v>
      </c>
      <c r="N300" s="30"/>
      <c r="O300" s="438"/>
    </row>
    <row r="301" s="23" customFormat="1" ht="15" customHeight="1" outlineLevel="1">
      <c r="B301" s="11"/>
      <c r="C301" s="12"/>
      <c r="D301" s="14"/>
      <c r="E301" s="14"/>
      <c r="F301" s="14"/>
      <c r="G301" s="14"/>
      <c r="H301" s="242"/>
      <c r="I301" s="242"/>
      <c r="J301" s="242"/>
      <c r="K301" s="242"/>
      <c r="L301" s="242"/>
      <c r="M301" s="242"/>
      <c r="N301" s="242"/>
      <c r="O301" s="438"/>
    </row>
    <row r="302" s="23" customFormat="1" ht="15" customHeight="1" outlineLevel="1">
      <c r="B302" s="61" t="s">
        <v>274</v>
      </c>
      <c r="C302" s="12"/>
      <c r="D302" s="14"/>
      <c r="E302" s="14"/>
      <c r="F302" s="14"/>
      <c r="G302" s="14"/>
      <c r="H302" s="242"/>
      <c r="I302" s="242"/>
      <c r="J302" s="242"/>
      <c r="K302" s="242"/>
      <c r="L302" s="242"/>
      <c r="M302" s="242"/>
      <c r="N302" s="242"/>
      <c r="O302" s="438"/>
    </row>
    <row r="303" s="23" customFormat="1" ht="15" customHeight="1" outlineLevel="1">
      <c r="B303" s="284" t="s">
        <v>236</v>
      </c>
      <c r="C303" s="12"/>
      <c r="D303" s="14"/>
      <c r="E303" s="14"/>
      <c r="F303" s="14"/>
      <c r="G303" s="14"/>
      <c r="H303" s="242"/>
      <c r="I303" s="30">
        <f>H306</f>
        <v>24128</v>
      </c>
      <c r="J303" s="30">
        <f>I306</f>
        <v>10523.605052500001</v>
      </c>
      <c r="K303" s="30">
        <f>J306</f>
        <v>0</v>
      </c>
      <c r="L303" s="30">
        <f>K306</f>
        <v>0</v>
      </c>
      <c r="M303" s="30">
        <f>L306</f>
        <v>0</v>
      </c>
      <c r="N303" s="30"/>
      <c r="O303" s="438"/>
    </row>
    <row r="304" s="23" customFormat="1" ht="15" customHeight="1" outlineLevel="1">
      <c r="B304" s="284" t="s">
        <v>275</v>
      </c>
      <c r="C304" s="12"/>
      <c r="D304" s="14"/>
      <c r="E304" s="14"/>
      <c r="F304" s="14"/>
      <c r="G304" s="14"/>
      <c r="H304" s="242"/>
      <c r="I304" s="30">
        <f>-MIN(I292,0)</f>
        <v>0</v>
      </c>
      <c r="J304" s="30">
        <f>-MIN(J292,0)</f>
        <v>0</v>
      </c>
      <c r="K304" s="30">
        <f>-MIN(K292,0)</f>
        <v>0</v>
      </c>
      <c r="L304" s="30">
        <f>-MIN(L292,0)</f>
        <v>0</v>
      </c>
      <c r="M304" s="30">
        <f>-MIN(M292,0)</f>
        <v>0</v>
      </c>
      <c r="N304" s="30"/>
      <c r="O304" s="438"/>
    </row>
    <row r="305" s="23" customFormat="1" ht="15" customHeight="1" outlineLevel="1">
      <c r="B305" s="284" t="s">
        <v>276</v>
      </c>
      <c r="C305" s="12"/>
      <c r="D305" s="14"/>
      <c r="E305" s="14"/>
      <c r="F305" s="14"/>
      <c r="G305" s="14"/>
      <c r="H305" s="290"/>
      <c r="I305" s="545">
        <f>-MIN(I303,I298)*I285</f>
        <v>-13604.394947499999</v>
      </c>
      <c r="J305" s="545">
        <f>-MIN(J303,J298)*J285</f>
        <v>-10523.605052500001</v>
      </c>
      <c r="K305" s="545">
        <f>-MIN(K303,K298)*K285</f>
        <v>0</v>
      </c>
      <c r="L305" s="545">
        <f>-MIN(L303,L298)*L285</f>
        <v>0</v>
      </c>
      <c r="M305" s="545">
        <f>-MIN(M303,M298)*M285</f>
        <v>0</v>
      </c>
      <c r="N305" s="30"/>
      <c r="O305" s="438"/>
    </row>
    <row r="306" s="23" customFormat="1" ht="15" customHeight="1" outlineLevel="1">
      <c r="B306" s="284" t="s">
        <v>238</v>
      </c>
      <c r="C306" s="12"/>
      <c r="D306" s="14"/>
      <c r="E306" s="14"/>
      <c r="F306" s="14"/>
      <c r="G306" s="14"/>
      <c r="H306" s="30">
        <f>H264</f>
        <v>24128</v>
      </c>
      <c r="I306" s="30">
        <f>SUM(I303:I305)</f>
        <v>10523.605052500001</v>
      </c>
      <c r="J306" s="30">
        <f>SUM(J303:J305)</f>
        <v>0</v>
      </c>
      <c r="K306" s="30">
        <f>SUM(K303:K305)</f>
        <v>0</v>
      </c>
      <c r="L306" s="30">
        <f>SUM(L303:L305)</f>
        <v>0</v>
      </c>
      <c r="M306" s="30">
        <f>SUM(M303:M305)</f>
        <v>0</v>
      </c>
      <c r="N306" s="30"/>
      <c r="O306" s="59"/>
    </row>
    <row r="307" s="23" customFormat="1" ht="15" customHeight="1" outlineLevel="1">
      <c r="B307" s="11"/>
      <c r="C307" s="12"/>
      <c r="D307" s="14"/>
      <c r="E307" s="14"/>
      <c r="F307" s="14"/>
      <c r="G307" s="14"/>
      <c r="H307" s="242"/>
      <c r="I307" s="242"/>
      <c r="J307" s="242"/>
      <c r="K307" s="242"/>
      <c r="L307" s="242"/>
      <c r="M307" s="242"/>
      <c r="N307" s="242"/>
      <c r="O307" s="438"/>
    </row>
    <row r="308" s="23" customFormat="1" ht="15" customHeight="1" outlineLevel="1">
      <c r="B308" s="500"/>
      <c r="C308" s="564"/>
      <c r="D308" s="501"/>
      <c r="E308" s="501"/>
      <c r="F308" s="501"/>
      <c r="G308" s="501"/>
      <c r="H308" s="290"/>
      <c r="I308" s="290"/>
      <c r="J308" s="290"/>
      <c r="K308" s="290"/>
      <c r="L308" s="290"/>
      <c r="M308" s="290"/>
      <c r="N308" s="242"/>
      <c r="O308" s="438"/>
    </row>
    <row r="309" s="23" customFormat="1" ht="15" customHeight="1" outlineLevel="1">
      <c r="B309" s="11"/>
      <c r="C309" s="12"/>
      <c r="D309" s="14"/>
      <c r="E309" s="14"/>
      <c r="F309" s="14"/>
      <c r="G309" s="14"/>
      <c r="H309" s="242"/>
      <c r="I309" s="242"/>
      <c r="J309" s="242"/>
      <c r="K309" s="242"/>
      <c r="L309" s="242"/>
      <c r="M309" s="242"/>
      <c r="N309" s="242"/>
      <c r="O309" s="438"/>
    </row>
    <row r="310" s="23" customFormat="1" ht="15" customHeight="1" outlineLevel="1">
      <c r="B310" s="61" t="s">
        <v>277</v>
      </c>
      <c r="C310" s="12"/>
      <c r="D310" s="14"/>
      <c r="E310" s="14"/>
      <c r="F310" s="14"/>
      <c r="G310" s="14"/>
      <c r="H310" s="242"/>
      <c r="I310" s="242"/>
      <c r="J310" s="242"/>
      <c r="K310" s="242"/>
      <c r="L310" s="242"/>
      <c r="M310" s="242"/>
      <c r="N310" s="242"/>
      <c r="O310" s="438"/>
    </row>
    <row r="311" s="23" customFormat="1" ht="15" customHeight="1" outlineLevel="1">
      <c r="B311" s="284" t="s">
        <v>278</v>
      </c>
      <c r="C311" s="12"/>
      <c r="D311" s="14"/>
      <c r="E311" s="14"/>
      <c r="F311" s="289"/>
      <c r="G311" s="289"/>
      <c r="H311" s="30"/>
      <c r="I311" s="30">
        <f>$D$287*I300</f>
        <v>0</v>
      </c>
      <c r="J311" s="30">
        <f>$D$287*J300</f>
        <v>694.7204971062506</v>
      </c>
      <c r="K311" s="30">
        <f>$D$287*K300</f>
        <v>3279.8481530131885</v>
      </c>
      <c r="L311" s="30">
        <f>$D$287*L300</f>
        <v>3270.9241135817683</v>
      </c>
      <c r="M311" s="30">
        <f>$D$287*M300</f>
        <v>3333.2130662071172</v>
      </c>
      <c r="N311" s="30"/>
      <c r="O311" s="59"/>
    </row>
    <row r="312" s="23" customFormat="1" ht="15" customHeight="1" outlineLevel="1">
      <c r="B312" s="284" t="s">
        <v>178</v>
      </c>
      <c r="C312" s="12"/>
      <c r="D312" s="14"/>
      <c r="E312" s="14"/>
      <c r="F312" s="14"/>
      <c r="G312" s="14"/>
      <c r="H312" s="242"/>
      <c r="I312" s="30">
        <f>I313-I311</f>
        <v>3818.2768618749997</v>
      </c>
      <c r="J312" s="30">
        <f>J313-J311</f>
        <v>3024.3925131250003</v>
      </c>
      <c r="K312" s="30">
        <f>K313-K311</f>
        <v>343.98240625000017</v>
      </c>
      <c r="L312" s="30">
        <f>L313-L311</f>
        <v>248.46238906249982</v>
      </c>
      <c r="M312" s="30">
        <f>M313-M311</f>
        <v>104.14537445312499</v>
      </c>
      <c r="N312" s="30"/>
      <c r="O312" s="59"/>
    </row>
    <row r="313" s="23" customFormat="1" ht="15" customHeight="1" outlineLevel="1">
      <c r="B313" s="284" t="s">
        <v>279</v>
      </c>
      <c r="C313" s="12"/>
      <c r="D313" s="14"/>
      <c r="E313" s="14"/>
      <c r="F313" s="14"/>
      <c r="G313" s="14"/>
      <c r="H313" s="242"/>
      <c r="I313" s="864">
        <f>MAX($D$287*I292,0)</f>
        <v>3818.2768618749997</v>
      </c>
      <c r="J313" s="864">
        <f>MAX($D$287*J292,0)</f>
        <v>3719.1130102312509</v>
      </c>
      <c r="K313" s="864">
        <f>MAX($D$287*K292,0)</f>
        <v>3623.8305592631887</v>
      </c>
      <c r="L313" s="864">
        <f>MAX($D$287*L292,0)</f>
        <v>3519.3865026442681</v>
      </c>
      <c r="M313" s="864">
        <f>MAX($D$287*M292,0)</f>
        <v>3437.3584406602422</v>
      </c>
      <c r="N313" s="30"/>
      <c r="O313" s="59"/>
      <c r="S313" s="870" t="str">
        <f>IF(SUM(S283:S294)=3,"COMPLETE","")</f>
        <v>COMPLETE</v>
      </c>
    </row>
    <row r="314" s="23" customFormat="1" ht="15" customHeight="1" outlineLevel="1">
      <c r="B314" s="11"/>
      <c r="C314" s="12"/>
      <c r="D314" s="14"/>
      <c r="E314" s="14"/>
      <c r="F314" s="14"/>
      <c r="G314" s="14"/>
      <c r="H314" s="14"/>
      <c r="I314" s="16"/>
      <c r="J314" s="16"/>
      <c r="K314" s="16"/>
      <c r="L314" s="16"/>
      <c r="M314" s="16"/>
      <c r="O314" s="59"/>
    </row>
    <row r="315" s="23" customFormat="1" ht="15" customHeight="1" outlineLevel="1">
      <c r="B315" s="11"/>
      <c r="C315" s="12"/>
      <c r="D315" s="14"/>
      <c r="E315" s="14"/>
      <c r="F315" s="14"/>
      <c r="G315" s="14"/>
      <c r="H315" s="14"/>
      <c r="I315" s="16"/>
      <c r="J315" s="16"/>
      <c r="K315" s="16"/>
      <c r="L315" s="16"/>
      <c r="M315" s="16"/>
      <c r="O315" s="59"/>
    </row>
    <row r="316" s="23" customFormat="1" ht="15" customHeight="1" outlineLevel="1">
      <c r="C316" s="12"/>
      <c r="D316" s="14"/>
      <c r="E316" s="14"/>
      <c r="F316" s="14"/>
      <c r="G316" s="14"/>
      <c r="H316" s="14"/>
      <c r="I316" s="16"/>
      <c r="J316" s="16"/>
      <c r="K316" s="16"/>
      <c r="L316" s="16"/>
      <c r="M316" s="132" t="s">
        <v>280</v>
      </c>
      <c r="O316" s="59"/>
    </row>
    <row r="317" s="23" customFormat="1" ht="15" customHeight="1" outlineLevel="1">
      <c r="C317" s="12"/>
      <c r="D317" s="14"/>
      <c r="E317" s="14"/>
      <c r="F317" s="14"/>
      <c r="G317" s="14"/>
      <c r="H317" s="14"/>
      <c r="I317" s="16"/>
      <c r="J317" s="16"/>
      <c r="K317" s="16"/>
      <c r="L317" s="16"/>
      <c r="M317" s="535" t="s">
        <v>281</v>
      </c>
      <c r="O317" s="59"/>
    </row>
    <row r="318" s="23" customFormat="1" ht="15" customHeight="1" outlineLevel="1">
      <c r="C318" s="12"/>
      <c r="D318" s="14"/>
      <c r="E318" s="14"/>
      <c r="F318" s="14"/>
      <c r="G318" s="14"/>
      <c r="H318" s="14"/>
      <c r="I318" s="16"/>
      <c r="J318" s="16"/>
      <c r="K318" s="16"/>
      <c r="L318" s="16"/>
      <c r="M318" s="566"/>
      <c r="O318" s="59"/>
    </row>
    <row r="319" s="23" customFormat="1" ht="15" customHeight="1" outlineLevel="1">
      <c r="B319" s="500"/>
      <c r="C319" s="281"/>
      <c r="D319" s="501"/>
      <c r="E319" s="501"/>
      <c r="F319" s="501"/>
      <c r="G319" s="501"/>
      <c r="H319" s="501"/>
      <c r="I319" s="502"/>
      <c r="J319" s="502"/>
      <c r="K319" s="502"/>
      <c r="L319" s="502"/>
      <c r="M319" s="502"/>
      <c r="N319" s="502"/>
      <c r="O319" s="438"/>
    </row>
    <row r="320" s="23" customFormat="1" ht="15" customHeight="1">
      <c r="B320" s="11"/>
      <c r="C320" s="12"/>
      <c r="D320" s="14"/>
      <c r="E320" s="14"/>
      <c r="F320" s="14"/>
      <c r="G320" s="14"/>
      <c r="H320" s="14"/>
      <c r="I320" s="16"/>
      <c r="J320" s="16"/>
      <c r="K320" s="16"/>
      <c r="L320" s="16"/>
      <c r="M320" s="16"/>
      <c r="N320" s="16"/>
      <c r="O320" s="438"/>
    </row>
    <row r="321" s="23" customFormat="1" ht="15" customHeight="1">
      <c r="A321" s="23" t="s">
        <v>0</v>
      </c>
      <c r="B321" s="6" t="s">
        <v>285</v>
      </c>
      <c r="C321" s="7"/>
      <c r="D321" s="459"/>
      <c r="E321" s="459"/>
      <c r="F321" s="9"/>
      <c r="G321" s="9"/>
      <c r="H321" s="9"/>
      <c r="I321" s="460"/>
      <c r="J321" s="461"/>
      <c r="K321" s="461"/>
      <c r="L321" s="461"/>
      <c r="M321" s="461"/>
      <c r="N321" s="401"/>
      <c r="O321" s="59"/>
    </row>
    <row r="322" s="23" customFormat="1" ht="15" customHeight="1" outlineLevel="1">
      <c r="B322" s="176"/>
      <c r="C322" s="12"/>
      <c r="D322" s="13"/>
      <c r="E322" s="13"/>
      <c r="F322" s="10"/>
      <c r="G322" s="10"/>
      <c r="H322" s="10"/>
      <c r="I322" s="10"/>
      <c r="J322" s="10"/>
      <c r="K322" s="10"/>
      <c r="L322" s="10"/>
      <c r="M322" s="10"/>
      <c r="N322" s="10"/>
      <c r="O322" s="477"/>
    </row>
    <row r="323" s="23" customFormat="1" ht="15" customHeight="1" outlineLevel="1">
      <c r="B323" s="11" t="s">
        <v>3</v>
      </c>
      <c r="C323" s="12"/>
      <c r="D323" s="14"/>
      <c r="E323" s="14"/>
      <c r="F323" s="10"/>
      <c r="G323" s="10"/>
      <c r="H323" s="10"/>
      <c r="I323" s="177">
        <f t="shared" ref="I323:N323" si="397">I$5</f>
        <v>2023</v>
      </c>
      <c r="J323" s="177">
        <f t="shared" si="397"/>
        <v>2024</v>
      </c>
      <c r="K323" s="177">
        <f t="shared" si="397"/>
        <v>2025</v>
      </c>
      <c r="L323" s="177">
        <f t="shared" si="397"/>
        <v>2026</v>
      </c>
      <c r="M323" s="177">
        <f t="shared" si="397"/>
        <v>2027</v>
      </c>
      <c r="N323" s="177" t="str">
        <f t="shared" si="397"/>
        <v>Term</v>
      </c>
    </row>
    <row r="324" ht="15" customHeight="1" outlineLevel="1">
      <c r="A324" s="4"/>
      <c r="B324" s="11" t="str">
        <f>$B$6</f>
        <v xml:space="preserve">Model Running: Base Case Drivers</v>
      </c>
      <c r="C324" s="12"/>
      <c r="D324" s="14"/>
      <c r="E324" s="14"/>
      <c r="F324" s="14"/>
      <c r="G324" s="14"/>
      <c r="H324" s="14"/>
      <c r="I324" s="16"/>
      <c r="J324" s="16"/>
      <c r="K324" s="16"/>
      <c r="L324" s="16"/>
      <c r="M324" s="16"/>
      <c r="N324" s="16"/>
    </row>
    <row r="325" s="23" customFormat="1" ht="15" customHeight="1" outlineLevel="1">
      <c r="B325" s="11"/>
      <c r="C325" s="12"/>
      <c r="D325" s="14"/>
      <c r="E325" s="14"/>
      <c r="F325" s="14"/>
      <c r="G325" s="14"/>
      <c r="H325" s="14"/>
      <c r="I325" s="424"/>
      <c r="J325" s="424"/>
      <c r="K325" s="424"/>
      <c r="L325" s="424"/>
      <c r="M325" s="424"/>
      <c r="N325" s="424"/>
    </row>
    <row r="326" s="23" customFormat="1" ht="15" customHeight="1" outlineLevel="1">
      <c r="B326" s="61" t="s">
        <v>286</v>
      </c>
      <c r="C326" s="12"/>
      <c r="D326" s="14"/>
      <c r="E326" s="61"/>
      <c r="F326" s="61" t="s">
        <v>287</v>
      </c>
      <c r="G326" s="242" t="s">
        <v>31</v>
      </c>
      <c r="H326" s="14"/>
      <c r="I326" s="16"/>
      <c r="J326" s="16"/>
      <c r="K326" s="16"/>
      <c r="L326" s="16"/>
      <c r="M326" s="16"/>
      <c r="N326" s="16"/>
      <c r="Q326" s="39" t="s">
        <v>6</v>
      </c>
      <c r="R326" s="40" t="s">
        <v>7</v>
      </c>
      <c r="S326" s="41" t="s">
        <v>8</v>
      </c>
    </row>
    <row r="327" s="23" customFormat="1" ht="15" customHeight="1" outlineLevel="1">
      <c r="B327" s="284" t="s">
        <v>288</v>
      </c>
      <c r="C327" s="12"/>
      <c r="D327" s="14"/>
      <c r="E327" s="14"/>
      <c r="F327" s="390" t="s">
        <v>168</v>
      </c>
      <c r="G327" s="838">
        <f>Model!N30</f>
        <v>13480.484043712564</v>
      </c>
      <c r="H327" s="289"/>
      <c r="I327" s="901">
        <f>Model!I405</f>
        <v>0</v>
      </c>
      <c r="J327" s="901">
        <f>Model!J405</f>
        <v>694.7204971062506</v>
      </c>
      <c r="K327" s="901">
        <f>Model!K405</f>
        <v>3279.8481530131885</v>
      </c>
      <c r="L327" s="901">
        <f>Model!L405</f>
        <v>3270.9241135817683</v>
      </c>
      <c r="M327" s="901">
        <f>Model!M405</f>
        <v>3333.2130662071172</v>
      </c>
      <c r="N327" s="951">
        <f t="shared" ref="N327:N328" si="398">G327*$G$329</f>
        <v>3370.121010928141</v>
      </c>
      <c r="Q327" s="51">
        <f>SUM(Model!I421:N421)</f>
        <v>13948.826840836467</v>
      </c>
      <c r="R327" s="52">
        <f t="shared" ref="R327:R350" si="399">SUM(I327:N327)</f>
        <v>13948.826840836467</v>
      </c>
      <c r="S327" s="53">
        <f>IF(ISBLANK(Model!I421),0,IF(Q327=R327,1,0))</f>
        <v>1</v>
      </c>
    </row>
    <row r="328" s="23" customFormat="1" ht="15" customHeight="1" outlineLevel="1">
      <c r="B328" s="284" t="s">
        <v>289</v>
      </c>
      <c r="C328" s="12"/>
      <c r="D328" s="14"/>
      <c r="E328" s="14"/>
      <c r="F328" s="568" t="s">
        <v>171</v>
      </c>
      <c r="G328" s="899">
        <f>Model!N34</f>
        <v>13476.678244162806</v>
      </c>
      <c r="H328" s="289"/>
      <c r="I328" s="901">
        <f>Model!I363</f>
        <v>0</v>
      </c>
      <c r="J328" s="901">
        <f>Model!J363</f>
        <v>233.41219196297834</v>
      </c>
      <c r="K328" s="901">
        <f>Model!K363</f>
        <v>3125.0759343838781</v>
      </c>
      <c r="L328" s="901">
        <f>Model!L363</f>
        <v>3159.6575784935785</v>
      </c>
      <c r="M328" s="901">
        <f>Model!M363</f>
        <v>3280.7926047701635</v>
      </c>
      <c r="N328" s="952">
        <f t="shared" si="398"/>
        <v>3369.1695610407014</v>
      </c>
      <c r="Q328" s="51">
        <f>SUM(Model!I422:N422)</f>
        <v>13168.1078706513</v>
      </c>
      <c r="R328" s="52">
        <f t="shared" si="399"/>
        <v>13168.1078706513</v>
      </c>
      <c r="S328" s="53">
        <f>IF(ISBLANK(Model!I422),0,IF(Q328=R328,1,0))</f>
        <v>1</v>
      </c>
    </row>
    <row r="329" s="23" customFormat="1" ht="15" customHeight="1" outlineLevel="1">
      <c r="B329" s="284" t="s">
        <v>290</v>
      </c>
      <c r="C329" s="13"/>
      <c r="D329" s="569"/>
      <c r="E329" s="569"/>
      <c r="F329" s="408" t="s">
        <v>101</v>
      </c>
      <c r="G329" s="916">
        <f>$C$101</f>
        <v>0.25</v>
      </c>
      <c r="H329" s="289"/>
      <c r="I329" s="944">
        <f>Model!I421-Model!I422</f>
        <v>0</v>
      </c>
      <c r="J329" s="944">
        <f>Model!J421-Model!J422</f>
        <v>461.30830514327226</v>
      </c>
      <c r="K329" s="944">
        <f>Model!K421-Model!K422</f>
        <v>154.77221862931037</v>
      </c>
      <c r="L329" s="944">
        <f>Model!L421-Model!L422</f>
        <v>111.26653508818981</v>
      </c>
      <c r="M329" s="944">
        <f>Model!M421-Model!M422</f>
        <v>52.420461436953701</v>
      </c>
      <c r="N329" s="953">
        <f>Model!N421-Model!N422</f>
        <v>0.95144988743959402</v>
      </c>
      <c r="Q329" s="70">
        <f>SUM(Model!I423:N423)</f>
        <v>780.71897018516574</v>
      </c>
      <c r="R329" s="71">
        <f t="shared" si="399"/>
        <v>780.71897018516574</v>
      </c>
      <c r="S329" s="72">
        <f>IF(ISBLANK(Model!I423),0,IF(Q329=R329,1,0))</f>
        <v>1</v>
      </c>
    </row>
    <row r="330" s="23" customFormat="1" ht="15" customHeight="1" outlineLevel="1">
      <c r="B330" s="11"/>
      <c r="C330" s="12"/>
      <c r="D330" s="14"/>
      <c r="E330" s="14"/>
      <c r="F330" s="570"/>
      <c r="G330" s="570"/>
      <c r="H330" s="570"/>
      <c r="I330" s="476"/>
      <c r="J330" s="476"/>
      <c r="K330" s="476"/>
      <c r="L330" s="476"/>
      <c r="M330" s="476"/>
      <c r="N330" s="476"/>
    </row>
    <row r="331" s="23" customFormat="1" ht="15" customHeight="1" outlineLevel="1">
      <c r="B331" s="11"/>
      <c r="C331" s="12"/>
      <c r="D331" s="14"/>
      <c r="E331" s="14"/>
      <c r="F331" s="14"/>
      <c r="G331" s="14"/>
      <c r="H331" s="14"/>
      <c r="I331" s="16"/>
      <c r="J331" s="16"/>
      <c r="K331" s="16"/>
      <c r="L331" s="16"/>
      <c r="M331" s="16"/>
      <c r="N331" s="16"/>
    </row>
    <row r="332" s="23" customFormat="1" ht="15" customHeight="1" outlineLevel="1">
      <c r="B332" s="500"/>
      <c r="C332" s="281"/>
      <c r="D332" s="501"/>
      <c r="E332" s="501"/>
      <c r="F332" s="501"/>
      <c r="G332" s="501"/>
      <c r="H332" s="501"/>
      <c r="I332" s="502"/>
      <c r="J332" s="502"/>
      <c r="K332" s="502"/>
      <c r="L332" s="502"/>
      <c r="M332" s="502"/>
      <c r="N332" s="502"/>
    </row>
    <row r="333" s="23" customFormat="1" ht="15" customHeight="1" outlineLevel="1">
      <c r="B333" s="11"/>
      <c r="C333" s="12"/>
      <c r="D333" s="14"/>
      <c r="E333" s="14"/>
      <c r="F333" s="14"/>
      <c r="G333" s="14"/>
      <c r="H333" s="14"/>
      <c r="I333" s="16"/>
      <c r="J333" s="16"/>
      <c r="K333" s="16"/>
      <c r="L333" s="16"/>
      <c r="M333" s="16"/>
      <c r="N333" s="16"/>
    </row>
    <row r="334" s="23" customFormat="1" ht="15" customHeight="1" outlineLevel="1">
      <c r="B334" s="61" t="s">
        <v>291</v>
      </c>
      <c r="D334" s="571"/>
      <c r="E334" s="14"/>
      <c r="F334" s="14"/>
      <c r="G334" s="14"/>
      <c r="H334" s="14"/>
      <c r="Q334" s="39" t="s">
        <v>6</v>
      </c>
      <c r="R334" s="40" t="s">
        <v>7</v>
      </c>
      <c r="S334" s="41" t="s">
        <v>8</v>
      </c>
    </row>
    <row r="335" s="23" customFormat="1" ht="15" customHeight="1" outlineLevel="1">
      <c r="B335" s="284" t="s">
        <v>165</v>
      </c>
      <c r="C335" s="12"/>
      <c r="D335" s="14"/>
      <c r="E335" s="14"/>
      <c r="F335" s="1"/>
      <c r="G335" s="289"/>
      <c r="H335" s="289"/>
      <c r="I335" s="901">
        <f>Model!I26</f>
        <v>20236.044947499999</v>
      </c>
      <c r="J335" s="901">
        <f>Model!J26</f>
        <v>20289.389540925004</v>
      </c>
      <c r="K335" s="901">
        <f>Model!K26</f>
        <v>20333.259737052755</v>
      </c>
      <c r="L335" s="901">
        <f>Model!L26</f>
        <v>20265.483510577073</v>
      </c>
      <c r="M335" s="901">
        <f>Model!M26</f>
        <v>20187.371262640969</v>
      </c>
      <c r="N335" s="951">
        <f>Model!N26</f>
        <v>20193.421543712564</v>
      </c>
      <c r="Q335" s="51">
        <f>SUM(Model!I429:N429)</f>
        <v>121504.97054240837</v>
      </c>
      <c r="R335" s="52">
        <f t="shared" si="399"/>
        <v>121504.97054240837</v>
      </c>
      <c r="S335" s="53">
        <f>IF(ISBLANK(Model!I429),0,IF(Q335=R335,1,0))</f>
        <v>1</v>
      </c>
    </row>
    <row r="336" s="23" customFormat="1" ht="15" customHeight="1" outlineLevel="1">
      <c r="B336" s="284" t="s">
        <v>278</v>
      </c>
      <c r="C336" s="12"/>
      <c r="D336" s="14"/>
      <c r="E336" s="14"/>
      <c r="F336" s="1"/>
      <c r="G336" s="289"/>
      <c r="H336" s="289"/>
      <c r="I336" s="901">
        <f>-Model!I421</f>
        <v>0</v>
      </c>
      <c r="J336" s="901">
        <f>-Model!J421</f>
        <v>-694.7204971062506</v>
      </c>
      <c r="K336" s="901">
        <f>-Model!K421</f>
        <v>-3279.8481530131885</v>
      </c>
      <c r="L336" s="901">
        <f>-Model!L421</f>
        <v>-3270.9241135817683</v>
      </c>
      <c r="M336" s="901">
        <f>-Model!M421</f>
        <v>-3333.2130662071172</v>
      </c>
      <c r="N336" s="952">
        <f>-Model!N421</f>
        <v>-3370.121010928141</v>
      </c>
      <c r="Q336" s="51">
        <f>SUM(Model!I430:N430)</f>
        <v>-13948.826840836467</v>
      </c>
      <c r="R336" s="52">
        <f t="shared" si="399"/>
        <v>-13948.826840836467</v>
      </c>
      <c r="S336" s="53">
        <f>IF(ISBLANK(Model!I430),0,IF(Q336=R336,1,0))</f>
        <v>1</v>
      </c>
    </row>
    <row r="337" s="23" customFormat="1" ht="15" customHeight="1" outlineLevel="1">
      <c r="B337" s="284" t="s">
        <v>35</v>
      </c>
      <c r="C337" s="12"/>
      <c r="D337" s="14"/>
      <c r="E337" s="14"/>
      <c r="F337" s="289"/>
      <c r="G337" s="289"/>
      <c r="H337" s="289"/>
      <c r="I337" s="901">
        <f>-Inputs!G24</f>
        <v>-10000</v>
      </c>
      <c r="J337" s="901">
        <f>-Inputs!H24</f>
        <v>-8000</v>
      </c>
      <c r="K337" s="901">
        <f>-Inputs!I24</f>
        <v>-9000</v>
      </c>
      <c r="L337" s="901">
        <f>-Inputs!J24</f>
        <v>-5000</v>
      </c>
      <c r="M337" s="901">
        <f>-Inputs!K24</f>
        <v>-5000</v>
      </c>
      <c r="N337" s="952">
        <f>-Inputs!L24</f>
        <v>-6000</v>
      </c>
      <c r="Q337" s="51">
        <f>SUM(Model!I431:N431)</f>
        <v>-43000</v>
      </c>
      <c r="R337" s="52">
        <f t="shared" si="399"/>
        <v>-43000</v>
      </c>
      <c r="S337" s="53">
        <f>IF(ISBLANK(Model!I431),0,IF(Q337=R337,1,0))</f>
        <v>1</v>
      </c>
    </row>
    <row r="338" s="23" customFormat="1" ht="15" customHeight="1" outlineLevel="1">
      <c r="B338" s="284" t="s">
        <v>292</v>
      </c>
      <c r="C338" s="12"/>
      <c r="D338" s="14"/>
      <c r="E338" s="14"/>
      <c r="F338" s="289"/>
      <c r="G338" s="289"/>
      <c r="H338" s="289"/>
      <c r="I338" s="901">
        <f>Model!I151</f>
        <v>-416.38408003424593</v>
      </c>
      <c r="J338" s="901">
        <f>Model!J151</f>
        <v>-103.64260740102782</v>
      </c>
      <c r="K338" s="901">
        <f>Model!K151</f>
        <v>-105.38650732305814</v>
      </c>
      <c r="L338" s="901">
        <f>Model!L151</f>
        <v>-77.458350702958342</v>
      </c>
      <c r="M338" s="901">
        <f>Model!M151</f>
        <v>-78.329404783040445</v>
      </c>
      <c r="N338" s="952">
        <f>Model!N151</f>
        <v>-54.841129448020183</v>
      </c>
      <c r="Q338" s="51">
        <f>SUM(Model!I432:N432)</f>
        <v>-836.04207969235085</v>
      </c>
      <c r="R338" s="52">
        <f t="shared" si="399"/>
        <v>-836.04207969235085</v>
      </c>
      <c r="S338" s="53">
        <f>IF(ISBLANK(Model!I432),0,IF(Q338=R338,1,0))</f>
        <v>1</v>
      </c>
    </row>
    <row r="339" ht="15" customHeight="1" outlineLevel="1">
      <c r="B339" s="284" t="s">
        <v>293</v>
      </c>
      <c r="C339" s="13"/>
      <c r="D339" s="569"/>
      <c r="E339" s="569"/>
      <c r="F339" s="289"/>
      <c r="G339" s="289"/>
      <c r="H339" s="289"/>
      <c r="I339" s="954">
        <f>SUM(Model!I429:I432)</f>
        <v>9819.6608674657527</v>
      </c>
      <c r="J339" s="954">
        <f>SUM(Model!J429:J432)</f>
        <v>11491.026436417727</v>
      </c>
      <c r="K339" s="954">
        <f>SUM(Model!K429:K432)</f>
        <v>7948.0250767165098</v>
      </c>
      <c r="L339" s="954">
        <f>SUM(Model!L429:L432)</f>
        <v>11917.101046292346</v>
      </c>
      <c r="M339" s="954">
        <f>SUM(Model!M429:M432)</f>
        <v>11775.828791650811</v>
      </c>
      <c r="N339" s="955">
        <f>SUM(Model!N429:N432)</f>
        <v>10768.459403336401</v>
      </c>
      <c r="Q339" s="70">
        <f>SUM(Model!I433:N433)</f>
        <v>63720.101621879556</v>
      </c>
      <c r="R339" s="71">
        <f t="shared" si="399"/>
        <v>63720.101621879556</v>
      </c>
      <c r="S339" s="72">
        <f>IF(ISBLANK(Model!I433),0,IF(Q339=R339,1,0))</f>
        <v>1</v>
      </c>
    </row>
    <row r="340" ht="15" customHeight="1" outlineLevel="1">
      <c r="N340" s="4"/>
    </row>
    <row r="342" s="23" customFormat="1" ht="15" customHeight="1" outlineLevel="1">
      <c r="B342" s="61" t="s">
        <v>294</v>
      </c>
      <c r="D342" s="571"/>
      <c r="E342" s="14"/>
      <c r="F342" s="14"/>
      <c r="G342" s="14"/>
      <c r="H342" s="14"/>
      <c r="N342" s="541"/>
      <c r="Q342" s="39" t="s">
        <v>6</v>
      </c>
      <c r="R342" s="40" t="s">
        <v>7</v>
      </c>
      <c r="S342" s="41" t="s">
        <v>8</v>
      </c>
    </row>
    <row r="343" s="23" customFormat="1" ht="15" customHeight="1" outlineLevel="1">
      <c r="B343" s="284" t="s">
        <v>175</v>
      </c>
      <c r="C343" s="12"/>
      <c r="D343" s="14"/>
      <c r="E343" s="14"/>
      <c r="F343" s="289"/>
      <c r="G343" s="289"/>
      <c r="H343" s="289"/>
      <c r="I343" s="901">
        <f>Model!I40</f>
        <v>10685.405578874999</v>
      </c>
      <c r="J343" s="901">
        <f>Model!J40</f>
        <v>10542.839122013935</v>
      </c>
      <c r="K343" s="901">
        <f>Model!K40</f>
        <v>10407.175021901636</v>
      </c>
      <c r="L343" s="901">
        <f>Model!L40</f>
        <v>10224.359902668235</v>
      </c>
      <c r="M343" s="901">
        <f>Model!M40</f>
        <v>10154.813937669864</v>
      </c>
      <c r="N343" s="951">
        <f>Model!N40</f>
        <v>10107.508683122105</v>
      </c>
      <c r="Q343" s="51">
        <f>SUM(Model!I437:N437)</f>
        <v>62122.102246250775</v>
      </c>
      <c r="R343" s="52">
        <f t="shared" si="399"/>
        <v>62122.102246250775</v>
      </c>
      <c r="S343" s="53">
        <f>IF(ISBLANK(Model!I437),0,IF(Q343=R343,1,0))</f>
        <v>1</v>
      </c>
    </row>
    <row r="344" s="23" customFormat="1" ht="15" customHeight="1" outlineLevel="1">
      <c r="B344" s="284" t="s">
        <v>295</v>
      </c>
      <c r="C344" s="12"/>
      <c r="D344" s="14"/>
      <c r="E344" s="14"/>
      <c r="F344" s="289"/>
      <c r="G344" s="289"/>
      <c r="H344" s="289"/>
      <c r="I344" s="901">
        <f>Model!I29</f>
        <v>-4962.9375</v>
      </c>
      <c r="J344" s="901">
        <f>Model!J29</f>
        <v>-5412.9375</v>
      </c>
      <c r="K344" s="901">
        <f>Model!K29</f>
        <v>-5837.9375</v>
      </c>
      <c r="L344" s="901">
        <f>Model!L29</f>
        <v>-6187.9375</v>
      </c>
      <c r="M344" s="901">
        <f>Model!M29</f>
        <v>-6437.9375</v>
      </c>
      <c r="N344" s="952">
        <f>Model!N29</f>
        <v>-6712.9375</v>
      </c>
      <c r="Q344" s="51">
        <f>SUM(Model!I438:N438)</f>
        <v>35552.625</v>
      </c>
      <c r="R344" s="52">
        <f t="shared" si="399"/>
        <v>-35552.625</v>
      </c>
      <c r="S344" s="53">
        <f>IF(ISBLANK(Model!I438),0,IF(Q344=R344,1,0))</f>
        <v>0</v>
      </c>
    </row>
    <row r="345" s="23" customFormat="1" ht="15" customHeight="1" outlineLevel="1">
      <c r="B345" s="284" t="s">
        <v>475</v>
      </c>
      <c r="C345" s="12"/>
      <c r="D345" s="14"/>
      <c r="E345" s="14"/>
      <c r="F345" s="289"/>
      <c r="G345" s="289"/>
      <c r="H345" s="289"/>
      <c r="I345" s="901">
        <f>Model!I37</f>
        <v>3561.8018596249999</v>
      </c>
      <c r="J345" s="901">
        <f>Model!J37</f>
        <v>3280.8675153749996</v>
      </c>
      <c r="K345" s="901">
        <f>Model!K37</f>
        <v>343.98240625000017</v>
      </c>
      <c r="L345" s="901">
        <f>Model!L37</f>
        <v>248.46238906249982</v>
      </c>
      <c r="M345" s="901">
        <f>Model!M37</f>
        <v>104.14537445312453</v>
      </c>
      <c r="N345" s="952">
        <f>Model!N37</f>
        <v>0</v>
      </c>
      <c r="Q345" s="51">
        <f>SUM(Model!I439:N439)</f>
        <v>7539.259544765624</v>
      </c>
      <c r="R345" s="52">
        <f t="shared" si="399"/>
        <v>7539.259544765624</v>
      </c>
      <c r="S345" s="53">
        <f>IF(ISBLANK(Model!I439),0,IF(Q345=R345,1,0))</f>
        <v>1</v>
      </c>
    </row>
    <row r="346" s="23" customFormat="1" ht="15" customHeight="1" outlineLevel="1">
      <c r="B346" s="284" t="s">
        <v>169</v>
      </c>
      <c r="C346" s="12"/>
      <c r="D346" s="14"/>
      <c r="E346" s="14"/>
      <c r="F346" s="289"/>
      <c r="G346" s="289"/>
      <c r="H346" s="289"/>
      <c r="I346" s="901">
        <f>Model!I33</f>
        <v>84.09999100000006</v>
      </c>
      <c r="J346" s="901">
        <f>Model!J33</f>
        <v>110.66678842690764</v>
      </c>
      <c r="K346" s="901">
        <f>Model!K33</f>
        <v>160.91112548275879</v>
      </c>
      <c r="L346" s="901">
        <f>Model!L33</f>
        <v>184.93385964724126</v>
      </c>
      <c r="M346" s="901">
        <f>Model!M33</f>
        <v>240.31815425218258</v>
      </c>
      <c r="N346" s="952">
        <f>Model!N33</f>
        <v>296.19420045024231</v>
      </c>
      <c r="Q346" s="51">
        <f>SUM(Model!I440:N440)</f>
        <v>3122.8758807406675</v>
      </c>
      <c r="R346" s="52">
        <f t="shared" si="399"/>
        <v>1077.1241192593325</v>
      </c>
      <c r="S346" s="53">
        <f>IF(ISBLANK(Model!I440),0,IF(Q346=R346,1,0))</f>
        <v>0</v>
      </c>
    </row>
    <row r="347" s="23" customFormat="1" ht="15" customHeight="1" outlineLevel="1">
      <c r="B347" s="284" t="s">
        <v>297</v>
      </c>
      <c r="C347" s="12"/>
      <c r="D347" s="14"/>
      <c r="E347" s="14"/>
      <c r="F347" s="289"/>
      <c r="G347" s="289"/>
      <c r="H347" s="289"/>
      <c r="I347" s="901">
        <f>-Model!I423</f>
        <v>0</v>
      </c>
      <c r="J347" s="901">
        <f>-Model!J423</f>
        <v>-461.30830514327226</v>
      </c>
      <c r="K347" s="901">
        <f>-Model!K423</f>
        <v>-154.77221862931037</v>
      </c>
      <c r="L347" s="901">
        <f>-Model!L423</f>
        <v>-111.26653508818981</v>
      </c>
      <c r="M347" s="901">
        <f>-Model!M423</f>
        <v>-52.420461436953701</v>
      </c>
      <c r="N347" s="952">
        <f>-Model!N423</f>
        <v>-0.95144988743959402</v>
      </c>
      <c r="Q347" s="51">
        <f>SUM(Model!I441:N441)</f>
        <v>-780.71897018516574</v>
      </c>
      <c r="R347" s="52">
        <f t="shared" si="399"/>
        <v>-780.71897018516574</v>
      </c>
      <c r="S347" s="53">
        <f>IF(ISBLANK(Model!I441),0,IF(Q347=R347,1,0))</f>
        <v>1</v>
      </c>
    </row>
    <row r="348" s="23" customFormat="1" ht="15" customHeight="1" outlineLevel="1">
      <c r="B348" s="284" t="s">
        <v>35</v>
      </c>
      <c r="C348" s="12"/>
      <c r="D348" s="14"/>
      <c r="E348" s="14"/>
      <c r="F348" s="289"/>
      <c r="G348" s="289"/>
      <c r="H348" s="289"/>
      <c r="I348" s="901">
        <f>Model!I431</f>
        <v>-10000</v>
      </c>
      <c r="J348" s="901">
        <f>Model!J431</f>
        <v>-8000</v>
      </c>
      <c r="K348" s="901">
        <f>Model!K431</f>
        <v>-9000</v>
      </c>
      <c r="L348" s="901">
        <f>Model!L431</f>
        <v>-5000</v>
      </c>
      <c r="M348" s="901">
        <f>Model!M431</f>
        <v>-5000</v>
      </c>
      <c r="N348" s="952">
        <f>Model!N431</f>
        <v>-6000</v>
      </c>
      <c r="Q348" s="51">
        <f>SUM(Model!I442:N442)</f>
        <v>-43000</v>
      </c>
      <c r="R348" s="52">
        <f t="shared" si="399"/>
        <v>-43000</v>
      </c>
      <c r="S348" s="53">
        <f>IF(ISBLANK(Model!I442),0,IF(Q348=R348,1,0))</f>
        <v>1</v>
      </c>
    </row>
    <row r="349" s="23" customFormat="1" ht="15" customHeight="1" outlineLevel="1">
      <c r="B349" s="284" t="s">
        <v>292</v>
      </c>
      <c r="C349" s="12"/>
      <c r="D349" s="14"/>
      <c r="E349" s="14"/>
      <c r="F349" s="289"/>
      <c r="G349" s="289"/>
      <c r="H349" s="289"/>
      <c r="I349" s="901">
        <f>Model!I432</f>
        <v>-416.38408003424593</v>
      </c>
      <c r="J349" s="901">
        <f>Model!J432</f>
        <v>-103.64260740102782</v>
      </c>
      <c r="K349" s="901">
        <f>Model!K432</f>
        <v>-105.38650732305814</v>
      </c>
      <c r="L349" s="901">
        <f>Model!L432</f>
        <v>-77.458350702958342</v>
      </c>
      <c r="M349" s="901">
        <f>Model!M432</f>
        <v>-78.329404783040445</v>
      </c>
      <c r="N349" s="952">
        <f>Model!N432</f>
        <v>-54.841129448020183</v>
      </c>
      <c r="Q349" s="51">
        <f>SUM(Model!I443:N443)</f>
        <v>-836.04207969235085</v>
      </c>
      <c r="R349" s="52">
        <f t="shared" si="399"/>
        <v>-836.04207969235085</v>
      </c>
      <c r="S349" s="53">
        <f>IF(ISBLANK(Model!I443),0,IF(Q349=R349,1,0))</f>
        <v>1</v>
      </c>
    </row>
    <row r="350" ht="15" customHeight="1" outlineLevel="1">
      <c r="B350" s="284" t="s">
        <v>293</v>
      </c>
      <c r="C350" s="13"/>
      <c r="D350" s="569"/>
      <c r="E350" s="569"/>
      <c r="F350" s="289"/>
      <c r="G350" s="289"/>
      <c r="H350" s="289"/>
      <c r="I350" s="954">
        <f>SUM(Model!I437:I443)</f>
        <v>9819.6608674657527</v>
      </c>
      <c r="J350" s="954">
        <f>SUM(Model!J437:J443)</f>
        <v>11491.026436417727</v>
      </c>
      <c r="K350" s="954">
        <f>SUM(Model!K437:K443)</f>
        <v>7948.0250767165098</v>
      </c>
      <c r="L350" s="954">
        <f>SUM(Model!L437:L443)</f>
        <v>11917.101046292346</v>
      </c>
      <c r="M350" s="954">
        <f>SUM(Model!M437:M443)</f>
        <v>11775.828791650814</v>
      </c>
      <c r="N350" s="955">
        <f>SUM(Model!N437:N443)</f>
        <v>10768.459403336401</v>
      </c>
      <c r="Q350" s="70">
        <f>SUM(Model!I444:N444)</f>
        <v>63720.101621879556</v>
      </c>
      <c r="R350" s="71">
        <f t="shared" si="399"/>
        <v>63720.101621879556</v>
      </c>
      <c r="S350" s="72">
        <f>IF(ISBLANK(Model!I444),0,IF(Q350=R350,1,0))</f>
        <v>1</v>
      </c>
    </row>
    <row r="351" ht="15" customHeight="1" outlineLevel="1">
      <c r="N351" s="4"/>
    </row>
    <row r="353" ht="15" customHeight="1" outlineLevel="1">
      <c r="B353" s="296" t="s">
        <v>298</v>
      </c>
      <c r="C353" s="572"/>
      <c r="D353" s="573"/>
      <c r="E353" s="573"/>
      <c r="F353" s="574"/>
      <c r="G353" s="574"/>
      <c r="H353" s="574"/>
      <c r="I353" s="956">
        <f t="shared" ref="I353:N353" si="400">IF(ROUND(I339-I350,1)=0,0,1)</f>
        <v>0</v>
      </c>
      <c r="J353" s="957">
        <f t="shared" si="400"/>
        <v>0</v>
      </c>
      <c r="K353" s="957">
        <f t="shared" si="400"/>
        <v>0</v>
      </c>
      <c r="L353" s="957">
        <f t="shared" si="400"/>
        <v>0</v>
      </c>
      <c r="M353" s="957">
        <f t="shared" si="400"/>
        <v>0</v>
      </c>
      <c r="N353" s="958">
        <f t="shared" si="400"/>
        <v>0</v>
      </c>
      <c r="S353" s="870" t="str">
        <f>IF(SUM(S326:S350)=16,"COMPLETE","")</f>
        <v/>
      </c>
    </row>
    <row r="354" ht="15" customHeight="1" outlineLevel="1">
      <c r="C354" s="572"/>
      <c r="D354" s="573"/>
      <c r="E354" s="573"/>
      <c r="F354" s="574"/>
      <c r="G354" s="574"/>
      <c r="H354" s="574"/>
      <c r="I354" s="574"/>
      <c r="J354" s="574"/>
      <c r="K354" s="574"/>
      <c r="L354" s="574"/>
      <c r="M354" s="574"/>
      <c r="N354" s="574"/>
    </row>
    <row r="355" ht="15" customHeight="1" outlineLevel="1">
      <c r="C355" s="572"/>
      <c r="D355" s="573"/>
      <c r="E355" s="573"/>
      <c r="F355" s="574"/>
      <c r="G355" s="574"/>
      <c r="H355" s="574"/>
    </row>
    <row r="356" s="23" customFormat="1" ht="15" customHeight="1" outlineLevel="1">
      <c r="C356" s="12"/>
      <c r="D356" s="14"/>
      <c r="E356" s="14"/>
      <c r="F356" s="14"/>
      <c r="G356" s="14"/>
      <c r="H356" s="14"/>
      <c r="I356" s="16"/>
      <c r="J356" s="16"/>
      <c r="K356" s="16"/>
      <c r="L356" s="16"/>
      <c r="N356" s="132" t="s">
        <v>299</v>
      </c>
      <c r="O356" s="59"/>
    </row>
    <row r="357" s="23" customFormat="1" ht="15" customHeight="1" outlineLevel="1">
      <c r="C357" s="12"/>
      <c r="D357" s="14"/>
      <c r="E357" s="14"/>
      <c r="F357" s="14"/>
      <c r="G357" s="14"/>
      <c r="H357" s="14"/>
      <c r="I357" s="16"/>
      <c r="J357" s="16"/>
      <c r="K357" s="16"/>
      <c r="L357" s="16"/>
      <c r="N357" s="535" t="s">
        <v>300</v>
      </c>
      <c r="O357" s="59"/>
    </row>
    <row r="359" s="4" customFormat="1" ht="15" customHeight="1" outlineLevel="1">
      <c r="B359" s="280"/>
      <c r="C359" s="431"/>
      <c r="D359" s="432"/>
      <c r="E359" s="432"/>
      <c r="F359" s="578"/>
      <c r="G359" s="578"/>
      <c r="H359" s="578"/>
      <c r="I359" s="578"/>
      <c r="J359" s="578"/>
      <c r="K359" s="578"/>
      <c r="L359" s="578"/>
      <c r="M359" s="578"/>
      <c r="N359" s="578"/>
      <c r="O359" s="59"/>
    </row>
    <row r="360" s="23" customFormat="1" ht="15" customHeight="1">
      <c r="B360" s="11"/>
      <c r="C360" s="12"/>
      <c r="D360" s="14"/>
      <c r="E360" s="14"/>
      <c r="F360" s="14"/>
      <c r="G360" s="14"/>
      <c r="H360" s="14"/>
      <c r="I360" s="16"/>
      <c r="J360" s="16"/>
      <c r="K360" s="16"/>
      <c r="L360" s="16"/>
      <c r="M360" s="16"/>
      <c r="N360" s="16"/>
    </row>
    <row r="361" s="23" customFormat="1" ht="15" customHeight="1">
      <c r="A361" s="23" t="s">
        <v>0</v>
      </c>
      <c r="B361" s="6" t="s">
        <v>301</v>
      </c>
      <c r="C361" s="7"/>
      <c r="D361" s="459"/>
      <c r="E361" s="459"/>
      <c r="F361" s="9"/>
      <c r="G361" s="9"/>
      <c r="H361" s="9"/>
      <c r="I361" s="460"/>
      <c r="J361" s="461"/>
      <c r="K361" s="461"/>
      <c r="L361" s="461"/>
      <c r="M361" s="461"/>
      <c r="N361" s="401"/>
    </row>
    <row r="362" s="23" customFormat="1" ht="15" customHeight="1" outlineLevel="1">
      <c r="B362" s="176"/>
      <c r="C362" s="12"/>
      <c r="D362" s="13"/>
      <c r="E362" s="13"/>
      <c r="F362" s="10"/>
      <c r="G362" s="10"/>
      <c r="H362" s="10"/>
      <c r="I362" s="10"/>
      <c r="J362" s="10"/>
      <c r="K362" s="10"/>
      <c r="L362" s="10"/>
      <c r="M362" s="10"/>
      <c r="N362" s="10"/>
      <c r="O362" s="477"/>
    </row>
    <row r="363" s="23" customFormat="1" ht="15" customHeight="1" outlineLevel="1">
      <c r="B363" s="11" t="s">
        <v>3</v>
      </c>
      <c r="C363" s="12"/>
      <c r="D363" s="13"/>
      <c r="E363" s="13"/>
    </row>
    <row r="364" s="23" customFormat="1" ht="15" customHeight="1" outlineLevel="1">
      <c r="B364" s="11" t="str">
        <f>$B$6</f>
        <v xml:space="preserve">Model Running: Base Case Drivers</v>
      </c>
      <c r="E364" s="14"/>
      <c r="F364" s="10"/>
      <c r="G364" s="10"/>
      <c r="H364" s="579" t="s">
        <v>130</v>
      </c>
      <c r="I364" s="580" t="s">
        <v>302</v>
      </c>
      <c r="J364" s="581"/>
      <c r="K364" s="581"/>
      <c r="L364" s="581"/>
      <c r="M364" s="581"/>
      <c r="N364" s="582" t="s">
        <v>31</v>
      </c>
      <c r="O364" s="567"/>
    </row>
    <row r="365" s="23" customFormat="1" ht="15" customHeight="1" outlineLevel="1">
      <c r="E365" s="14"/>
      <c r="H365" s="583" t="s">
        <v>117</v>
      </c>
      <c r="I365" s="583" t="s">
        <v>117</v>
      </c>
      <c r="J365" s="584" t="s">
        <v>117</v>
      </c>
      <c r="K365" s="584" t="s">
        <v>117</v>
      </c>
      <c r="L365" s="584" t="s">
        <v>117</v>
      </c>
      <c r="M365" s="584" t="s">
        <v>117</v>
      </c>
      <c r="N365" s="585" t="s">
        <v>117</v>
      </c>
      <c r="O365" s="567"/>
      <c r="Q365" s="39" t="s">
        <v>6</v>
      </c>
      <c r="R365" s="40" t="s">
        <v>7</v>
      </c>
      <c r="S365" s="41" t="s">
        <v>8</v>
      </c>
    </row>
    <row r="366" s="23" customFormat="1" ht="15" customHeight="1" outlineLevel="1">
      <c r="B366" s="390" t="s">
        <v>303</v>
      </c>
      <c r="C366" s="959">
        <f>'Outputs-R'!O12</f>
        <v>0.02</v>
      </c>
      <c r="E366" s="14"/>
      <c r="F366" s="587" t="s">
        <v>304</v>
      </c>
      <c r="H366" s="960">
        <f>Inputs!F102</f>
        <v>45016</v>
      </c>
      <c r="I366" s="960">
        <f>Inputs!F104</f>
        <v>45291</v>
      </c>
      <c r="J366" s="961">
        <f t="shared" ref="J366:J367" si="401">EDATE(I366,12)</f>
        <v>45657</v>
      </c>
      <c r="K366" s="961">
        <f t="shared" ref="K366:N367" si="402">EDATE(J366,12)</f>
        <v>46022</v>
      </c>
      <c r="L366" s="961">
        <f t="shared" si="402"/>
        <v>46387</v>
      </c>
      <c r="M366" s="961">
        <f t="shared" si="402"/>
        <v>46752</v>
      </c>
      <c r="N366" s="962">
        <f t="shared" si="402"/>
        <v>47118</v>
      </c>
      <c r="O366" s="567"/>
      <c r="Q366" s="51">
        <f>SUM(Model!J460:N460)</f>
        <v>231936</v>
      </c>
      <c r="R366" s="52">
        <f t="shared" ref="R366:R367" si="403">SUM(J366:N366)</f>
        <v>231936</v>
      </c>
      <c r="S366" s="53">
        <f>IF(ISBLANK(Model!J460),0,IF(Q366=R366,1,0))</f>
        <v>1</v>
      </c>
    </row>
    <row r="367" s="23" customFormat="1" ht="15" customHeight="1" outlineLevel="1">
      <c r="B367" s="408" t="s">
        <v>14</v>
      </c>
      <c r="C367" s="963">
        <f>Outputs!O13</f>
        <v>0.095866057127655321</v>
      </c>
      <c r="D367" s="13"/>
      <c r="E367" s="13"/>
      <c r="F367" s="587" t="s">
        <v>305</v>
      </c>
      <c r="H367" s="960">
        <f>H366</f>
        <v>45016</v>
      </c>
      <c r="I367" s="960">
        <f>Inputs!F103</f>
        <v>45107</v>
      </c>
      <c r="J367" s="961">
        <f t="shared" si="401"/>
        <v>45473</v>
      </c>
      <c r="K367" s="961">
        <f t="shared" si="402"/>
        <v>45838</v>
      </c>
      <c r="L367" s="961">
        <f t="shared" si="402"/>
        <v>46203</v>
      </c>
      <c r="M367" s="961">
        <f t="shared" si="402"/>
        <v>46568</v>
      </c>
      <c r="N367" s="964">
        <f t="shared" si="402"/>
        <v>46934</v>
      </c>
      <c r="O367" s="567"/>
      <c r="Q367" s="70">
        <f>SUM(Model!J461:N461)</f>
        <v>231016</v>
      </c>
      <c r="R367" s="71">
        <f t="shared" si="403"/>
        <v>231016</v>
      </c>
      <c r="S367" s="72">
        <f>IF(ISBLANK(Model!J461),0,IF(Q367=R367,1,0))</f>
        <v>1</v>
      </c>
    </row>
    <row r="368" s="23" customFormat="1" ht="15" customHeight="1" outlineLevel="1">
      <c r="B368" s="176"/>
      <c r="C368" s="12"/>
      <c r="D368" s="13"/>
      <c r="E368" s="13"/>
      <c r="F368" s="10"/>
      <c r="G368" s="10"/>
      <c r="H368" s="593"/>
      <c r="I368" s="593"/>
      <c r="J368" s="593"/>
      <c r="K368" s="593"/>
      <c r="L368" s="593"/>
      <c r="M368" s="593"/>
      <c r="N368" s="593"/>
      <c r="O368" s="477"/>
      <c r="S368" s="965"/>
    </row>
    <row r="369" s="23" customFormat="1" ht="15" customHeight="1" outlineLevel="1">
      <c r="B369" s="73" t="s">
        <v>293</v>
      </c>
      <c r="D369" s="14"/>
      <c r="E369" s="14"/>
      <c r="F369" s="289"/>
      <c r="G369" s="289"/>
      <c r="H369" s="594">
        <v>0</v>
      </c>
      <c r="I369" s="910">
        <f>Model!I$444</f>
        <v>9819.6608674657527</v>
      </c>
      <c r="J369" s="910">
        <f>Model!J$444</f>
        <v>11491.026436417727</v>
      </c>
      <c r="K369" s="910">
        <f>Model!K$444</f>
        <v>7948.0250767165098</v>
      </c>
      <c r="L369" s="910">
        <f>Model!L$444</f>
        <v>11917.101046292346</v>
      </c>
      <c r="M369" s="910">
        <f>Model!M$444</f>
        <v>11775.828791650814</v>
      </c>
      <c r="N369" s="953">
        <f>Model!N$444</f>
        <v>10768.459403336401</v>
      </c>
      <c r="O369" s="477"/>
      <c r="Q369" s="966">
        <f>SUM(Model!I463:N463)</f>
        <v>63720.101621879556</v>
      </c>
      <c r="R369" s="967">
        <f>SUM(I369:N369)</f>
        <v>63720.101621879556</v>
      </c>
      <c r="S369" s="968">
        <f>IF(ISBLANK(Model!I463),0,IF(Q369=R369,1,0))</f>
        <v>1</v>
      </c>
    </row>
    <row r="370" s="23" customFormat="1" ht="15" customHeight="1" outlineLevel="1">
      <c r="O370" s="438"/>
    </row>
    <row r="371" s="23" customFormat="1" ht="15" customHeight="1" outlineLevel="1">
      <c r="B371" s="11"/>
      <c r="D371" s="1"/>
      <c r="E371" s="14"/>
      <c r="F371" s="1"/>
      <c r="G371" s="14"/>
      <c r="H371" s="14"/>
      <c r="I371" s="16"/>
      <c r="J371" s="16"/>
      <c r="K371" s="16"/>
      <c r="L371" s="16"/>
      <c r="M371" s="16"/>
    </row>
    <row r="372" s="23" customFormat="1" ht="15" customHeight="1" outlineLevel="1">
      <c r="B372" s="61" t="s">
        <v>306</v>
      </c>
      <c r="D372" s="1"/>
      <c r="E372" s="14"/>
      <c r="F372" s="1"/>
      <c r="G372" s="14"/>
      <c r="H372" s="14"/>
      <c r="I372" s="16"/>
      <c r="J372" s="16"/>
      <c r="K372" s="16"/>
      <c r="L372" s="16"/>
      <c r="M372" s="16"/>
      <c r="Q372" s="39" t="s">
        <v>6</v>
      </c>
      <c r="R372" s="40" t="s">
        <v>7</v>
      </c>
      <c r="S372" s="41" t="s">
        <v>8</v>
      </c>
    </row>
    <row r="373" s="23" customFormat="1" ht="15" customHeight="1" outlineLevel="1">
      <c r="B373" s="284" t="s">
        <v>302</v>
      </c>
      <c r="D373" s="595"/>
      <c r="E373" s="14"/>
      <c r="F373" s="1"/>
      <c r="G373" s="289"/>
      <c r="H373" s="410">
        <v>0</v>
      </c>
      <c r="I373" s="886">
        <f>Model!I463</f>
        <v>9819.6608674657527</v>
      </c>
      <c r="J373" s="886">
        <f>Model!J463</f>
        <v>11491.026436417727</v>
      </c>
      <c r="K373" s="886">
        <f>Model!K463</f>
        <v>7948.0250767165098</v>
      </c>
      <c r="L373" s="886">
        <f>Model!L463</f>
        <v>11917.101046292346</v>
      </c>
      <c r="M373" s="886">
        <f>Model!M463</f>
        <v>11775.828791650814</v>
      </c>
      <c r="N373" s="441"/>
      <c r="O373" s="438"/>
      <c r="Q373" s="51">
        <f>SUM(Model!I467:M467)</f>
        <v>52951.642218543151</v>
      </c>
      <c r="R373" s="52">
        <f>SUM(I373:M373)</f>
        <v>52951.642218543151</v>
      </c>
      <c r="S373" s="53">
        <f>IF(ISBLANK(Model!I467),0,IF(Q373=R373,1,0))</f>
        <v>1</v>
      </c>
    </row>
    <row r="374" s="23" customFormat="1" ht="15" customHeight="1" outlineLevel="1">
      <c r="B374" s="284" t="s">
        <v>307</v>
      </c>
      <c r="D374" s="14"/>
      <c r="E374" s="14"/>
      <c r="F374" s="1"/>
      <c r="G374" s="289"/>
      <c r="H374" s="412">
        <v>0</v>
      </c>
      <c r="I374" s="412">
        <v>0</v>
      </c>
      <c r="J374" s="412">
        <v>0</v>
      </c>
      <c r="K374" s="412">
        <v>0</v>
      </c>
      <c r="L374" s="412">
        <v>0</v>
      </c>
      <c r="M374" s="888">
        <f>Model!N463/(C367-C366)</f>
        <v>141940.41197128451</v>
      </c>
      <c r="N374" s="441"/>
      <c r="O374" s="438"/>
      <c r="Q374" s="51">
        <f>Model!M468</f>
        <v>125409.96714600683</v>
      </c>
      <c r="R374" s="52">
        <f>M374</f>
        <v>141940.41197128451</v>
      </c>
      <c r="S374" s="53">
        <f>IF(ISBLANK(Model!M468),0,IF(Q374=R374,1,0))</f>
        <v>0</v>
      </c>
    </row>
    <row r="375" s="23" customFormat="1" ht="15" customHeight="1" outlineLevel="1">
      <c r="B375" s="284" t="s">
        <v>308</v>
      </c>
      <c r="D375" s="569"/>
      <c r="E375" s="569"/>
      <c r="F375" s="289"/>
      <c r="G375" s="289"/>
      <c r="H375" s="424">
        <f t="shared" ref="H375:H389" si="404">SUM(H373:H374)</f>
        <v>0</v>
      </c>
      <c r="I375" s="886">
        <f>SUM(Model!I467:I468)</f>
        <v>9819.6608674657527</v>
      </c>
      <c r="J375" s="886">
        <f>SUM(Model!J467:J468)</f>
        <v>11491.026436417727</v>
      </c>
      <c r="K375" s="886">
        <f>SUM(Model!K467:K468)</f>
        <v>7948.0250767165098</v>
      </c>
      <c r="L375" s="886">
        <f>SUM(Model!L467:L468)</f>
        <v>11917.101046292346</v>
      </c>
      <c r="M375" s="886">
        <f>SUM(Model!M467:M468)</f>
        <v>137185.79593765765</v>
      </c>
      <c r="N375" s="289"/>
      <c r="O375" s="438"/>
      <c r="Q375" s="70">
        <f>SUM(Model!I469:M469)</f>
        <v>178361.60936454998</v>
      </c>
      <c r="R375" s="71">
        <f t="shared" ref="R375:R389" si="405">SUM(I375:M375)</f>
        <v>178361.60936454998</v>
      </c>
      <c r="S375" s="72">
        <f>IF(ISBLANK(Model!I469),0,IF(Q375=R375,1,0))</f>
        <v>1</v>
      </c>
    </row>
    <row r="376" s="23" customFormat="1" ht="15" customHeight="1" outlineLevel="1">
      <c r="B376" s="61"/>
      <c r="D376" s="14"/>
      <c r="E376" s="14"/>
      <c r="F376" s="570"/>
      <c r="G376" s="570"/>
      <c r="H376" s="570"/>
      <c r="I376" s="570"/>
      <c r="J376" s="570"/>
      <c r="K376" s="570"/>
      <c r="L376" s="570"/>
      <c r="M376" s="1"/>
      <c r="N376" s="1"/>
      <c r="O376" s="438"/>
    </row>
    <row r="377" s="23" customFormat="1" ht="15" customHeight="1" outlineLevel="1">
      <c r="B377" s="61" t="s">
        <v>309</v>
      </c>
      <c r="D377" s="14"/>
      <c r="E377" s="14"/>
      <c r="F377" s="1"/>
      <c r="G377" s="14"/>
      <c r="H377" s="14"/>
      <c r="I377" s="16"/>
      <c r="J377" s="16"/>
      <c r="K377" s="16"/>
      <c r="L377" s="16"/>
      <c r="M377" s="16"/>
      <c r="N377" s="289"/>
      <c r="O377" s="438"/>
      <c r="Q377" s="39" t="s">
        <v>6</v>
      </c>
      <c r="R377" s="40" t="s">
        <v>7</v>
      </c>
      <c r="S377" s="41" t="s">
        <v>8</v>
      </c>
    </row>
    <row r="378" s="23" customFormat="1" ht="15" customHeight="1" outlineLevel="1">
      <c r="B378" s="284" t="s">
        <v>310</v>
      </c>
      <c r="D378" s="14"/>
      <c r="E378" s="14"/>
      <c r="F378" s="570"/>
      <c r="G378" s="570"/>
      <c r="H378" s="410">
        <v>0</v>
      </c>
      <c r="I378" s="969">
        <f>YEARFRAC(Model!I460,Model!H460)</f>
        <v>0.75</v>
      </c>
      <c r="J378" s="969">
        <f>YEARFRAC(Model!J460,Model!I460)</f>
        <v>1</v>
      </c>
      <c r="K378" s="969">
        <f>YEARFRAC(Model!K460,Model!J460)</f>
        <v>1</v>
      </c>
      <c r="L378" s="969">
        <f>YEARFRAC(Model!L460,Model!K460)</f>
        <v>1</v>
      </c>
      <c r="M378" s="969">
        <f>YEARFRAC(Model!M460,Model!L460)</f>
        <v>1</v>
      </c>
      <c r="N378" s="289"/>
      <c r="O378" s="438"/>
      <c r="Q378" s="970">
        <f>SUM(Model!I472:M472)</f>
        <v>4.75</v>
      </c>
      <c r="R378" s="971">
        <f t="shared" si="405"/>
        <v>4.75</v>
      </c>
      <c r="S378" s="53">
        <f>IF(ISBLANK(Model!I472),0,IF(Q378=R378,1,0))</f>
        <v>1</v>
      </c>
    </row>
    <row r="379" s="23" customFormat="1" ht="6" customHeight="1" outlineLevel="1">
      <c r="B379" s="284"/>
      <c r="D379" s="14"/>
      <c r="E379" s="14"/>
      <c r="F379" s="570"/>
      <c r="G379" s="570"/>
      <c r="H379" s="410"/>
      <c r="I379" s="597"/>
      <c r="J379" s="597"/>
      <c r="K379" s="597"/>
      <c r="L379" s="597"/>
      <c r="M379" s="597"/>
      <c r="N379" s="289"/>
      <c r="O379" s="438"/>
      <c r="Q379" s="972"/>
      <c r="R379" s="973"/>
      <c r="S379" s="974"/>
    </row>
    <row r="380" s="23" customFormat="1" ht="15" customHeight="1" outlineLevel="1">
      <c r="B380" s="284" t="s">
        <v>302</v>
      </c>
      <c r="D380" s="595"/>
      <c r="E380" s="14"/>
      <c r="F380" s="1"/>
      <c r="G380" s="289"/>
      <c r="H380" s="410">
        <v>0</v>
      </c>
      <c r="I380" s="886">
        <f>Model!I467*Model!I$472</f>
        <v>7364.7456505993141</v>
      </c>
      <c r="J380" s="886">
        <f>Model!J467*Model!J$472</f>
        <v>11491.026436417727</v>
      </c>
      <c r="K380" s="886">
        <f>Model!K467*Model!K$472</f>
        <v>7948.0250767165098</v>
      </c>
      <c r="L380" s="886">
        <f>Model!L467*Model!L$472</f>
        <v>11917.101046292346</v>
      </c>
      <c r="M380" s="886">
        <f>Model!M467*Model!M$472</f>
        <v>11775.828791650814</v>
      </c>
      <c r="N380" s="289"/>
      <c r="O380" s="438"/>
      <c r="Q380" s="51">
        <f>SUM(Model!I474:M474)</f>
        <v>50496.727001676707</v>
      </c>
      <c r="R380" s="52">
        <f t="shared" si="405"/>
        <v>50496.727001676707</v>
      </c>
      <c r="S380" s="53">
        <f>IF(ISBLANK(Model!I474),0,IF(Q380=R380,1,0))</f>
        <v>1</v>
      </c>
    </row>
    <row r="381" s="23" customFormat="1" ht="15" customHeight="1" outlineLevel="1">
      <c r="B381" s="284" t="s">
        <v>307</v>
      </c>
      <c r="D381" s="14"/>
      <c r="E381" s="14"/>
      <c r="F381" s="1"/>
      <c r="G381" s="289"/>
      <c r="H381" s="412">
        <v>0</v>
      </c>
      <c r="I381" s="888">
        <f>Model!I468*Model!I$472</f>
        <v>0</v>
      </c>
      <c r="J381" s="888">
        <f>Model!J468*Model!J$472</f>
        <v>0</v>
      </c>
      <c r="K381" s="888">
        <f>Model!K468*Model!K$472</f>
        <v>0</v>
      </c>
      <c r="L381" s="888">
        <f>Model!L468*Model!L$472</f>
        <v>0</v>
      </c>
      <c r="M381" s="888">
        <f>Model!M468*Model!M$472</f>
        <v>125409.96714600683</v>
      </c>
      <c r="N381" s="289"/>
      <c r="O381" s="438"/>
      <c r="Q381" s="51">
        <f>SUM(Model!I475:M475)</f>
        <v>125409.96714600683</v>
      </c>
      <c r="R381" s="52">
        <f t="shared" si="405"/>
        <v>125409.96714600683</v>
      </c>
      <c r="S381" s="53">
        <f>IF(ISBLANK(Model!I475),0,IF(Q381=R381,1,0))</f>
        <v>1</v>
      </c>
    </row>
    <row r="382" s="23" customFormat="1" ht="15" customHeight="1" outlineLevel="1">
      <c r="B382" s="284" t="s">
        <v>308</v>
      </c>
      <c r="D382" s="569"/>
      <c r="E382" s="569"/>
      <c r="F382" s="289"/>
      <c r="G382" s="289"/>
      <c r="H382" s="424">
        <f t="shared" si="404"/>
        <v>0</v>
      </c>
      <c r="I382" s="886">
        <f>SUM(Model!I474:I475)</f>
        <v>7364.7456505993141</v>
      </c>
      <c r="J382" s="886">
        <f>SUM(Model!J474:J475)</f>
        <v>11491.026436417727</v>
      </c>
      <c r="K382" s="886">
        <f>SUM(Model!K474:K475)</f>
        <v>7948.0250767165098</v>
      </c>
      <c r="L382" s="886">
        <f>SUM(Model!L474:L475)</f>
        <v>11917.101046292346</v>
      </c>
      <c r="M382" s="886">
        <f>SUM(Model!M474:M475)</f>
        <v>137185.79593765765</v>
      </c>
      <c r="N382" s="289"/>
      <c r="O382" s="438"/>
      <c r="Q382" s="70">
        <f>SUM(Model!I476:M476)</f>
        <v>175906.69414768353</v>
      </c>
      <c r="R382" s="71">
        <f t="shared" si="405"/>
        <v>175906.69414768353</v>
      </c>
      <c r="S382" s="72">
        <f>IF(ISBLANK(Model!I476),0,IF(Q382=R382,1,0))</f>
        <v>1</v>
      </c>
    </row>
    <row r="383" s="23" customFormat="1" ht="15" customHeight="1" outlineLevel="1">
      <c r="B383" s="284"/>
      <c r="D383" s="14"/>
      <c r="E383" s="14"/>
      <c r="F383" s="570"/>
      <c r="G383" s="570"/>
      <c r="H383" s="410"/>
      <c r="I383" s="597"/>
      <c r="J383" s="597"/>
      <c r="K383" s="597"/>
      <c r="L383" s="597"/>
      <c r="M383" s="597"/>
      <c r="N383" s="289"/>
      <c r="O383" s="438"/>
    </row>
    <row r="384" s="23" customFormat="1" ht="15" customHeight="1" outlineLevel="1">
      <c r="B384" s="61" t="s">
        <v>311</v>
      </c>
      <c r="D384" s="14"/>
      <c r="E384" s="14"/>
      <c r="F384" s="1"/>
      <c r="G384" s="14"/>
      <c r="H384" s="14"/>
      <c r="I384" s="16"/>
      <c r="J384" s="16"/>
      <c r="K384" s="16"/>
      <c r="L384" s="16"/>
      <c r="M384" s="16"/>
      <c r="N384" s="289"/>
      <c r="O384" s="438"/>
      <c r="Q384" s="39" t="s">
        <v>6</v>
      </c>
      <c r="R384" s="40" t="s">
        <v>7</v>
      </c>
      <c r="S384" s="41" t="s">
        <v>8</v>
      </c>
    </row>
    <row r="385" s="23" customFormat="1" ht="15" customHeight="1" outlineLevel="1">
      <c r="B385" s="284" t="s">
        <v>312</v>
      </c>
      <c r="C385" s="1"/>
      <c r="D385" s="14"/>
      <c r="E385" s="14"/>
      <c r="F385" s="289"/>
      <c r="G385" s="289"/>
      <c r="H385" s="278">
        <v>0</v>
      </c>
      <c r="I385" s="285">
        <f>H385+YEARFRAC(Model!H461,Model!I461)</f>
        <v>0.25</v>
      </c>
      <c r="J385" s="285">
        <f>I385+YEARFRAC(Model!I461,Model!J461)</f>
        <v>1.25</v>
      </c>
      <c r="K385" s="285">
        <f>J385+YEARFRAC(Model!J461,Model!K461)</f>
        <v>2.25</v>
      </c>
      <c r="L385" s="285">
        <f>K385+YEARFRAC(Model!K461,Model!L461)</f>
        <v>3.25</v>
      </c>
      <c r="M385" s="285">
        <f>L385+YEARFRAC(Model!L461,Model!M461)</f>
        <v>4.25</v>
      </c>
      <c r="N385" s="289"/>
      <c r="O385" s="438"/>
      <c r="Q385" s="370">
        <f>SUM(Model!I479:M479)</f>
        <v>11.25</v>
      </c>
      <c r="R385" s="371">
        <f t="shared" si="405"/>
        <v>11.25</v>
      </c>
      <c r="S385" s="53">
        <f>IF(ISBLANK(Model!I479),0,IF(Q385=R385,1,0))</f>
        <v>1</v>
      </c>
    </row>
    <row r="386" s="23" customFormat="1" ht="6" customHeight="1" outlineLevel="1">
      <c r="B386" s="284"/>
      <c r="C386" s="1"/>
      <c r="D386" s="14"/>
      <c r="E386" s="14"/>
      <c r="F386" s="289"/>
      <c r="G386" s="289"/>
      <c r="H386" s="278"/>
      <c r="I386" s="279"/>
      <c r="J386" s="279"/>
      <c r="K386" s="279"/>
      <c r="L386" s="279"/>
      <c r="M386" s="279"/>
      <c r="N386" s="289"/>
      <c r="O386" s="438"/>
      <c r="Q386" s="972"/>
      <c r="R386" s="973"/>
      <c r="S386" s="974"/>
    </row>
    <row r="387" s="23" customFormat="1" ht="15" customHeight="1" outlineLevel="1">
      <c r="B387" s="284" t="s">
        <v>302</v>
      </c>
      <c r="D387" s="595"/>
      <c r="E387" s="14"/>
      <c r="F387" s="1"/>
      <c r="G387" s="289"/>
      <c r="H387" s="400">
        <v>0</v>
      </c>
      <c r="I387" s="886">
        <f>Model!I474/(1+$C$367)^Model!I$479</f>
        <v>7198.108418375462</v>
      </c>
      <c r="J387" s="886">
        <f>Model!J474/(1+$C$367)^Model!J$479</f>
        <v>10248.539502620039</v>
      </c>
      <c r="K387" s="886">
        <f>Model!K474/(1+$C$367)^Model!K$479</f>
        <v>6468.5197547612315</v>
      </c>
      <c r="L387" s="886">
        <f>Model!L474/(1+$C$367)^Model!L$479</f>
        <v>8850.3169985200966</v>
      </c>
      <c r="M387" s="886">
        <f>Model!M474/(1+$C$367)^Model!M$479</f>
        <v>7980.3550176247445</v>
      </c>
      <c r="N387" s="289"/>
      <c r="O387" s="438"/>
      <c r="Q387" s="51">
        <f>SUM(Model!I481:M481)</f>
        <v>40745.839691901572</v>
      </c>
      <c r="R387" s="52">
        <f t="shared" si="405"/>
        <v>40745.839691901572</v>
      </c>
      <c r="S387" s="53">
        <f>IF(ISBLANK(Model!I481),0,IF(Q387=R387,1,0))</f>
        <v>1</v>
      </c>
    </row>
    <row r="388" s="23" customFormat="1" ht="15" customHeight="1" outlineLevel="1">
      <c r="B388" s="284" t="s">
        <v>307</v>
      </c>
      <c r="D388" s="14"/>
      <c r="E388" s="14"/>
      <c r="F388" s="1"/>
      <c r="G388" s="289"/>
      <c r="H388" s="412">
        <v>0</v>
      </c>
      <c r="I388" s="888">
        <f>Model!I475/(1+$C$367)^Model!I$479</f>
        <v>0</v>
      </c>
      <c r="J388" s="888">
        <f>Model!J475/(1+$C$367)^Model!J$479</f>
        <v>0</v>
      </c>
      <c r="K388" s="888">
        <f>Model!K475/(1+$C$367)^Model!K$479</f>
        <v>0</v>
      </c>
      <c r="L388" s="888">
        <f>Model!L475/(1+$C$367)^Model!L$479</f>
        <v>0</v>
      </c>
      <c r="M388" s="888">
        <f>Model!M475/(1+$C$367)^Model!M$479</f>
        <v>84989.012517180876</v>
      </c>
      <c r="N388" s="289"/>
      <c r="O388" s="438"/>
      <c r="Q388" s="51">
        <f>SUM(Model!I482:M482)</f>
        <v>84989.012517180876</v>
      </c>
      <c r="R388" s="52">
        <f t="shared" si="405"/>
        <v>84989.012517180876</v>
      </c>
      <c r="S388" s="53">
        <f>IF(ISBLANK(Model!I482),0,IF(Q388=R388,1,0))</f>
        <v>1</v>
      </c>
    </row>
    <row r="389" s="23" customFormat="1" ht="15" customHeight="1" outlineLevel="1">
      <c r="B389" s="284" t="s">
        <v>308</v>
      </c>
      <c r="D389" s="569"/>
      <c r="E389" s="569"/>
      <c r="F389" s="289"/>
      <c r="G389" s="289"/>
      <c r="H389" s="424">
        <f t="shared" si="404"/>
        <v>0</v>
      </c>
      <c r="I389" s="886">
        <f>SUM(Model!I481:I482)</f>
        <v>7198.108418375462</v>
      </c>
      <c r="J389" s="886">
        <f>SUM(Model!J481:J482)</f>
        <v>10248.539502620039</v>
      </c>
      <c r="K389" s="886">
        <f>SUM(Model!K481:K482)</f>
        <v>6468.5197547612315</v>
      </c>
      <c r="L389" s="886">
        <f>SUM(Model!L481:L482)</f>
        <v>8850.3169985200966</v>
      </c>
      <c r="M389" s="886">
        <f>SUM(Model!M481:M482)</f>
        <v>92969.367534805613</v>
      </c>
      <c r="N389" s="289"/>
      <c r="O389" s="438"/>
      <c r="Q389" s="70">
        <f>SUM(Model!I483:M483)</f>
        <v>125734.85220908244</v>
      </c>
      <c r="R389" s="71">
        <f t="shared" si="405"/>
        <v>125734.85220908244</v>
      </c>
      <c r="S389" s="72">
        <f>IF(ISBLANK(Model!I483),0,IF(Q389=R389,1,0))</f>
        <v>1</v>
      </c>
    </row>
    <row r="390" s="23" customFormat="1" ht="15" customHeight="1" outlineLevel="1">
      <c r="B390" s="284"/>
      <c r="D390" s="14"/>
      <c r="E390" s="14"/>
      <c r="F390" s="570"/>
      <c r="G390" s="570"/>
      <c r="H390" s="410"/>
      <c r="I390" s="597"/>
      <c r="J390" s="597"/>
      <c r="K390" s="597"/>
      <c r="L390" s="597"/>
      <c r="M390" s="597"/>
      <c r="N390" s="289"/>
      <c r="O390" s="438"/>
    </row>
    <row r="391" ht="15" customHeight="1" outlineLevel="1">
      <c r="F391" s="4"/>
      <c r="G391" s="4"/>
      <c r="H391" s="4"/>
      <c r="I391" s="4"/>
      <c r="J391" s="4"/>
      <c r="K391" s="4"/>
      <c r="L391" s="4"/>
      <c r="M391" s="4"/>
    </row>
    <row r="392" ht="15" customHeight="1" outlineLevel="1">
      <c r="F392" s="61" t="s">
        <v>313</v>
      </c>
      <c r="G392" s="599"/>
      <c r="H392" s="4"/>
      <c r="I392" s="4"/>
      <c r="J392" s="61" t="s">
        <v>313</v>
      </c>
      <c r="K392" s="599"/>
      <c r="L392" s="4"/>
      <c r="M392" s="4"/>
      <c r="Q392" s="39" t="s">
        <v>6</v>
      </c>
      <c r="R392" s="40" t="s">
        <v>7</v>
      </c>
      <c r="S392" s="41" t="s">
        <v>8</v>
      </c>
      <c r="U392" s="39" t="s">
        <v>6</v>
      </c>
      <c r="V392" s="40" t="s">
        <v>7</v>
      </c>
      <c r="W392" s="41" t="s">
        <v>8</v>
      </c>
    </row>
    <row r="393" ht="15" customHeight="1" outlineLevel="1">
      <c r="F393" s="600" t="s">
        <v>314</v>
      </c>
      <c r="G393" s="601"/>
      <c r="H393" s="903">
        <f>SUM(Model!I483:M483)</f>
        <v>125734.85220908244</v>
      </c>
      <c r="I393" s="4"/>
      <c r="J393" s="600" t="s">
        <v>315</v>
      </c>
      <c r="K393" s="601"/>
      <c r="L393" s="975">
        <f>Model!M487/Model!$M$489</f>
        <v>0.32406161836613107</v>
      </c>
      <c r="M393" s="903">
        <f>SUM(Model!I481:M481)</f>
        <v>40745.839691901572</v>
      </c>
      <c r="Q393" s="51">
        <f>Model!H487</f>
        <v>125734.85220908244</v>
      </c>
      <c r="R393" s="52">
        <f>H393</f>
        <v>125734.85220908244</v>
      </c>
      <c r="S393" s="53">
        <f>IF(ISBLANK(Model!H487),0,IF(Q393=R393,1,0))</f>
        <v>1</v>
      </c>
      <c r="U393" s="51">
        <f>SUM(Model!L487:M487)</f>
        <v>40746.163753519941</v>
      </c>
      <c r="V393" s="52">
        <f t="shared" ref="V393:V395" si="406">IFERROR(SUM(L393:M393),0)</f>
        <v>40746.163753519941</v>
      </c>
      <c r="W393" s="53">
        <f>IF(ISBLANK(Model!M487),0,IF(U393=V393,1,0))</f>
        <v>1</v>
      </c>
    </row>
    <row r="394" ht="15" customHeight="1" outlineLevel="1">
      <c r="F394" s="603" t="s">
        <v>316</v>
      </c>
      <c r="G394" s="282"/>
      <c r="H394" s="907">
        <f>XNPV(C367,Model!H476:M476,Model!H461:M461)</f>
        <v>125713.00817128498</v>
      </c>
      <c r="I394" s="4"/>
      <c r="J394" s="604" t="s">
        <v>317</v>
      </c>
      <c r="K394" s="4"/>
      <c r="L394" s="976">
        <f>Model!M488/Model!$M$489</f>
        <v>0.67593838163386888</v>
      </c>
      <c r="M394" s="905">
        <f>SUM(Model!I482:M482)</f>
        <v>84989.012517180876</v>
      </c>
      <c r="Q394" s="70">
        <f>Model!H488</f>
        <v>125713.00817128498</v>
      </c>
      <c r="R394" s="71">
        <f>IFERROR(H394,0)</f>
        <v>125713.00817128498</v>
      </c>
      <c r="S394" s="72">
        <f>IF(ISBLANK(Model!H488),0,IF(Q394=R394,1,0))</f>
        <v>1</v>
      </c>
      <c r="U394" s="51">
        <f>SUM(Model!L488:M488)</f>
        <v>84989.688455562515</v>
      </c>
      <c r="V394" s="52">
        <f t="shared" si="406"/>
        <v>84989.688455562515</v>
      </c>
      <c r="W394" s="53">
        <f>IF(ISBLANK(Model!M488),0,IF(U394=V394,1,0))</f>
        <v>1</v>
      </c>
    </row>
    <row r="395" ht="15" customHeight="1" outlineLevel="1">
      <c r="I395" s="4"/>
      <c r="J395" s="604" t="s">
        <v>318</v>
      </c>
      <c r="K395" s="4"/>
      <c r="L395" s="975">
        <f>Model!M489/Model!$M$489</f>
        <v>1</v>
      </c>
      <c r="M395" s="903">
        <f>SUM(Model!M487:M488)</f>
        <v>1</v>
      </c>
      <c r="U395" s="70">
        <f>SUM(Model!L489:M489)</f>
        <v>125735.85220908246</v>
      </c>
      <c r="V395" s="71">
        <f t="shared" si="406"/>
        <v>2</v>
      </c>
      <c r="W395" s="72">
        <f>IF(ISBLANK(Model!M489),0,IF(U395=V395,1,0))</f>
        <v>0</v>
      </c>
    </row>
    <row r="396" ht="15" customHeight="1" outlineLevel="1">
      <c r="F396" s="4"/>
      <c r="G396" s="4"/>
      <c r="H396" s="4"/>
      <c r="I396" s="4"/>
      <c r="J396" s="601"/>
      <c r="K396" s="601"/>
      <c r="L396" s="601"/>
      <c r="M396" s="601"/>
    </row>
    <row r="397" ht="15" customHeight="1" outlineLevel="1">
      <c r="F397" s="4"/>
      <c r="G397" s="4"/>
      <c r="H397" s="4"/>
      <c r="I397" s="4"/>
      <c r="J397" s="4"/>
      <c r="K397" s="4"/>
      <c r="L397" s="4"/>
      <c r="M397" s="4"/>
    </row>
    <row r="398" ht="15" customHeight="1" outlineLevel="1">
      <c r="F398" s="61" t="s">
        <v>319</v>
      </c>
      <c r="G398" s="289"/>
      <c r="H398" s="4"/>
      <c r="I398" s="4"/>
      <c r="J398" s="61" t="s">
        <v>320</v>
      </c>
      <c r="K398" s="289"/>
      <c r="L398" s="4"/>
      <c r="M398" s="4"/>
      <c r="Q398" s="39" t="s">
        <v>6</v>
      </c>
      <c r="R398" s="40" t="s">
        <v>7</v>
      </c>
      <c r="S398" s="41" t="s">
        <v>8</v>
      </c>
      <c r="U398" s="39" t="s">
        <v>6</v>
      </c>
      <c r="V398" s="40" t="s">
        <v>7</v>
      </c>
      <c r="W398" s="41" t="s">
        <v>8</v>
      </c>
    </row>
    <row r="399" ht="15" customHeight="1" outlineLevel="1">
      <c r="F399" s="600" t="s">
        <v>318</v>
      </c>
      <c r="G399" s="601"/>
      <c r="H399" s="944">
        <f>Model!H488</f>
        <v>125713.00817128498</v>
      </c>
      <c r="I399" s="977"/>
      <c r="J399" s="600" t="s">
        <v>25</v>
      </c>
      <c r="K399" s="601"/>
      <c r="L399" s="601"/>
      <c r="M399" s="903">
        <f>Model!H495</f>
        <v>107071.00817128498</v>
      </c>
      <c r="Q399" s="51">
        <f>Model!H493</f>
        <v>125713.00817128498</v>
      </c>
      <c r="R399" s="52">
        <f>H399</f>
        <v>125713.00817128498</v>
      </c>
      <c r="S399" s="53">
        <f>IF(ISBLANK(Model!H493),0,IF(Q399=R399,1,0))</f>
        <v>1</v>
      </c>
      <c r="U399" s="51">
        <f>Model!M493</f>
        <v>107071.00817128498</v>
      </c>
      <c r="V399" s="52">
        <f>M399</f>
        <v>107071.00817128498</v>
      </c>
      <c r="W399" s="53">
        <f>IF(ISBLANK(Model!M493),0,IF(U399=V399,1,0))</f>
        <v>1</v>
      </c>
    </row>
    <row r="400" ht="15" customHeight="1" outlineLevel="1">
      <c r="F400" s="604" t="s">
        <v>321</v>
      </c>
      <c r="G400" s="4"/>
      <c r="H400" s="30">
        <f>-Inputs!L102</f>
        <v>-18642</v>
      </c>
      <c r="I400" s="977"/>
      <c r="J400" s="604" t="s">
        <v>18</v>
      </c>
      <c r="K400" s="4"/>
      <c r="L400" s="605" t="s">
        <v>19</v>
      </c>
      <c r="M400" s="899">
        <f>Inputs!F113</f>
        <v>34200</v>
      </c>
      <c r="Q400" s="376"/>
      <c r="R400" s="377"/>
      <c r="S400" s="379"/>
      <c r="U400" s="376"/>
      <c r="V400" s="377"/>
      <c r="W400" s="379"/>
    </row>
    <row r="401" ht="15" customHeight="1" outlineLevel="1">
      <c r="F401" s="604" t="s">
        <v>25</v>
      </c>
      <c r="G401" s="4"/>
      <c r="H401" s="944">
        <f>SUM(Model!H493:H494)</f>
        <v>107071.00817128498</v>
      </c>
      <c r="I401" s="977"/>
      <c r="J401" s="604" t="s">
        <v>25</v>
      </c>
      <c r="K401" s="4"/>
      <c r="L401" s="606" t="s">
        <v>322</v>
      </c>
      <c r="M401" s="978">
        <f>Model!M493/Model!M494</f>
        <v>3.130731233078508</v>
      </c>
      <c r="Q401" s="70">
        <f>Model!H495</f>
        <v>107071.00817128498</v>
      </c>
      <c r="R401" s="71">
        <f>H401</f>
        <v>107071.00817128498</v>
      </c>
      <c r="S401" s="72">
        <f>IF(Q401=R401,1,0)</f>
        <v>1</v>
      </c>
      <c r="U401" s="979">
        <f>Model!M495</f>
        <v>3.130731233078508</v>
      </c>
      <c r="V401" s="980">
        <f>M401</f>
        <v>3.130731233078508</v>
      </c>
      <c r="W401" s="72">
        <f>IF(ISBLANK(Model!M495),0,IF(U401=V401,1,0))</f>
        <v>1</v>
      </c>
    </row>
    <row r="402" ht="15" customHeight="1" outlineLevel="1">
      <c r="C402" s="289"/>
      <c r="F402" s="601"/>
      <c r="G402" s="601"/>
      <c r="H402" s="601"/>
      <c r="I402" s="4"/>
      <c r="J402" s="601"/>
      <c r="K402" s="601"/>
      <c r="L402" s="601"/>
      <c r="M402" s="601"/>
    </row>
    <row r="403" ht="15" customHeight="1" outlineLevel="1">
      <c r="C403" s="289"/>
      <c r="F403" s="4"/>
      <c r="G403" s="4"/>
      <c r="H403" s="4"/>
      <c r="I403" s="4"/>
      <c r="J403" s="4"/>
      <c r="K403" s="4"/>
      <c r="L403" s="4"/>
      <c r="M403" s="4"/>
    </row>
    <row r="404" s="23" customFormat="1" ht="15" customHeight="1" outlineLevel="1">
      <c r="C404" s="12"/>
      <c r="D404" s="14"/>
      <c r="E404" s="14"/>
      <c r="F404" s="14"/>
      <c r="G404" s="14"/>
      <c r="H404" s="14"/>
      <c r="I404" s="16"/>
      <c r="J404" s="16"/>
      <c r="K404" s="16"/>
      <c r="L404" s="16"/>
      <c r="M404" s="132" t="s">
        <v>323</v>
      </c>
      <c r="O404" s="59"/>
      <c r="S404" s="870" t="str">
        <f>IF(SUM(S365:S401)+SUM(W392:W401)=23,"COMPLETE","")</f>
        <v/>
      </c>
    </row>
    <row r="405" s="23" customFormat="1" ht="15" customHeight="1" outlineLevel="1">
      <c r="C405" s="12"/>
      <c r="D405" s="14"/>
      <c r="E405" s="14"/>
      <c r="F405" s="14"/>
      <c r="G405" s="14"/>
      <c r="H405" s="14"/>
      <c r="I405" s="16"/>
      <c r="J405" s="16"/>
      <c r="K405" s="16"/>
      <c r="L405" s="16"/>
      <c r="M405" s="536"/>
      <c r="O405" s="59"/>
    </row>
    <row r="406" s="23" customFormat="1" ht="15" customHeight="1" outlineLevel="1">
      <c r="B406" s="500"/>
      <c r="C406" s="281"/>
      <c r="D406" s="501"/>
      <c r="E406" s="501"/>
      <c r="F406" s="501"/>
      <c r="G406" s="501"/>
      <c r="H406" s="501"/>
      <c r="I406" s="502"/>
      <c r="J406" s="502"/>
      <c r="K406" s="502"/>
      <c r="L406" s="502"/>
      <c r="M406" s="502"/>
      <c r="N406" s="502"/>
    </row>
    <row r="407" s="23" customFormat="1" ht="15" customHeight="1">
      <c r="B407" s="11"/>
      <c r="C407" s="12"/>
      <c r="D407" s="14"/>
      <c r="E407" s="14"/>
      <c r="F407" s="14"/>
      <c r="G407" s="14"/>
      <c r="H407" s="14"/>
      <c r="I407" s="16"/>
      <c r="J407" s="16"/>
      <c r="K407" s="16"/>
      <c r="L407" s="16"/>
      <c r="M407" s="16"/>
      <c r="N407" s="16"/>
    </row>
    <row r="408" s="23" customFormat="1" ht="15" customHeight="1">
      <c r="A408" s="23" t="s">
        <v>0</v>
      </c>
      <c r="B408" s="6" t="s">
        <v>324</v>
      </c>
      <c r="C408" s="7"/>
      <c r="D408" s="459"/>
      <c r="E408" s="459"/>
      <c r="F408" s="9"/>
      <c r="G408" s="9"/>
      <c r="H408" s="9"/>
      <c r="I408" s="460"/>
      <c r="J408" s="461"/>
      <c r="K408" s="461"/>
      <c r="L408" s="461"/>
      <c r="M408" s="461"/>
      <c r="N408" s="461"/>
    </row>
    <row r="409" s="23" customFormat="1" ht="15" customHeight="1" outlineLevel="1">
      <c r="B409" s="176"/>
      <c r="C409" s="12"/>
      <c r="D409" s="13"/>
    </row>
    <row r="410" s="23" customFormat="1" ht="15" customHeight="1" outlineLevel="1">
      <c r="B410" s="11" t="s">
        <v>3</v>
      </c>
      <c r="C410" s="12"/>
      <c r="D410" s="13"/>
      <c r="E410" s="13"/>
      <c r="F410" s="10"/>
      <c r="G410" s="10"/>
      <c r="H410" s="10"/>
      <c r="I410" s="10"/>
      <c r="J410" s="10"/>
      <c r="K410" s="10"/>
      <c r="L410" s="10"/>
      <c r="M410" s="10"/>
      <c r="N410" s="10"/>
      <c r="O410" s="477"/>
    </row>
    <row r="411" s="23" customFormat="1" ht="15" customHeight="1" outlineLevel="1">
      <c r="B411" s="11" t="str">
        <f>$B$6</f>
        <v xml:space="preserve">Model Running: Base Case Drivers</v>
      </c>
      <c r="E411" s="13"/>
      <c r="F411" s="10"/>
      <c r="G411" s="10"/>
      <c r="H411" s="579" t="s">
        <v>130</v>
      </c>
      <c r="I411" s="580" t="s">
        <v>302</v>
      </c>
      <c r="J411" s="581"/>
      <c r="K411" s="581"/>
      <c r="L411" s="581"/>
      <c r="M411" s="581"/>
      <c r="N411" s="582" t="s">
        <v>31</v>
      </c>
      <c r="O411" s="567"/>
    </row>
    <row r="412" s="23" customFormat="1" ht="15" customHeight="1" outlineLevel="1">
      <c r="E412" s="14"/>
      <c r="H412" s="583" t="s">
        <v>117</v>
      </c>
      <c r="I412" s="583" t="s">
        <v>117</v>
      </c>
      <c r="J412" s="584" t="s">
        <v>117</v>
      </c>
      <c r="K412" s="584" t="s">
        <v>117</v>
      </c>
      <c r="L412" s="584" t="s">
        <v>117</v>
      </c>
      <c r="M412" s="584" t="s">
        <v>117</v>
      </c>
      <c r="N412" s="585" t="s">
        <v>117</v>
      </c>
      <c r="O412" s="567"/>
      <c r="Q412" s="39" t="s">
        <v>6</v>
      </c>
      <c r="R412" s="40" t="s">
        <v>7</v>
      </c>
      <c r="S412" s="41" t="s">
        <v>8</v>
      </c>
    </row>
    <row r="413" s="23" customFormat="1" ht="15" customHeight="1" outlineLevel="1">
      <c r="B413" s="390" t="s">
        <v>29</v>
      </c>
      <c r="C413" s="981">
        <f>'Outputs-R'!O56</f>
        <v>7</v>
      </c>
      <c r="E413" s="14"/>
      <c r="F413" s="587" t="s">
        <v>304</v>
      </c>
      <c r="H413" s="960">
        <f>Inputs!F102</f>
        <v>45016</v>
      </c>
      <c r="I413" s="960">
        <f>Inputs!F104</f>
        <v>45291</v>
      </c>
      <c r="J413" s="961">
        <f t="shared" ref="J413:J414" si="407">EDATE(I413,12)</f>
        <v>45657</v>
      </c>
      <c r="K413" s="961">
        <f t="shared" ref="K413:N414" si="408">EDATE(J413,12)</f>
        <v>46022</v>
      </c>
      <c r="L413" s="961">
        <f t="shared" si="408"/>
        <v>46387</v>
      </c>
      <c r="M413" s="961">
        <f t="shared" si="408"/>
        <v>46752</v>
      </c>
      <c r="N413" s="962">
        <f t="shared" si="408"/>
        <v>47118</v>
      </c>
      <c r="O413" s="567"/>
      <c r="Q413" s="51">
        <f>SUM(Model!J507:N507)</f>
        <v>231936</v>
      </c>
      <c r="R413" s="52">
        <f t="shared" ref="R413:R414" si="409">SUM(J413:N413)</f>
        <v>231936</v>
      </c>
      <c r="S413" s="53">
        <f t="shared" ref="S413:S414" si="410">IF(Q413=R413,1,0)</f>
        <v>1</v>
      </c>
    </row>
    <row r="414" s="23" customFormat="1" ht="15" customHeight="1" outlineLevel="1">
      <c r="B414" s="408" t="s">
        <v>14</v>
      </c>
      <c r="C414" s="963">
        <f>Outputs!O57</f>
        <v>0.095866057127655321</v>
      </c>
      <c r="D414" s="13"/>
      <c r="E414" s="14"/>
      <c r="F414" s="587" t="s">
        <v>305</v>
      </c>
      <c r="H414" s="960">
        <f>H413</f>
        <v>45016</v>
      </c>
      <c r="I414" s="960">
        <f>Inputs!F103</f>
        <v>45107</v>
      </c>
      <c r="J414" s="961">
        <f t="shared" si="407"/>
        <v>45473</v>
      </c>
      <c r="K414" s="961">
        <f t="shared" si="408"/>
        <v>45838</v>
      </c>
      <c r="L414" s="961">
        <f t="shared" si="408"/>
        <v>46203</v>
      </c>
      <c r="M414" s="961">
        <f t="shared" si="408"/>
        <v>46568</v>
      </c>
      <c r="N414" s="964">
        <f t="shared" si="408"/>
        <v>46934</v>
      </c>
      <c r="O414" s="567"/>
      <c r="Q414" s="70">
        <f>SUM(Model!J508:N508)</f>
        <v>231016</v>
      </c>
      <c r="R414" s="71">
        <f t="shared" si="409"/>
        <v>231016</v>
      </c>
      <c r="S414" s="72">
        <f t="shared" si="410"/>
        <v>1</v>
      </c>
    </row>
    <row r="415" s="23" customFormat="1" ht="15" customHeight="1" outlineLevel="1">
      <c r="B415" s="176"/>
      <c r="C415" s="12"/>
      <c r="D415" s="13"/>
      <c r="E415" s="13"/>
      <c r="F415" s="10"/>
      <c r="G415" s="10"/>
      <c r="H415" s="593"/>
      <c r="I415" s="593"/>
      <c r="J415" s="593"/>
      <c r="K415" s="593"/>
      <c r="L415" s="593"/>
      <c r="M415" s="593"/>
      <c r="N415" s="593"/>
      <c r="O415" s="477"/>
      <c r="S415" s="965"/>
    </row>
    <row r="416" s="23" customFormat="1" ht="15" customHeight="1" outlineLevel="1">
      <c r="B416" s="73" t="s">
        <v>293</v>
      </c>
      <c r="C416" s="541"/>
      <c r="D416" s="14"/>
      <c r="E416" s="14"/>
      <c r="F416" s="289"/>
      <c r="G416" s="289"/>
      <c r="H416" s="609"/>
      <c r="I416" s="855">
        <f t="shared" ref="I416:N416" si="411">I$350</f>
        <v>9819.6608674657527</v>
      </c>
      <c r="J416" s="855">
        <f t="shared" si="411"/>
        <v>11491.026436417727</v>
      </c>
      <c r="K416" s="855">
        <f t="shared" si="411"/>
        <v>7948.0250767165098</v>
      </c>
      <c r="L416" s="855">
        <f t="shared" si="411"/>
        <v>11917.101046292346</v>
      </c>
      <c r="M416" s="855">
        <f t="shared" si="411"/>
        <v>11775.828791650814</v>
      </c>
      <c r="N416" s="854">
        <f t="shared" si="411"/>
        <v>10768.459403336401</v>
      </c>
      <c r="O416" s="477"/>
      <c r="S416" s="965"/>
    </row>
    <row r="417" s="23" customFormat="1" ht="15" customHeight="1" outlineLevel="1">
      <c r="B417" s="73" t="s">
        <v>165</v>
      </c>
      <c r="C417" s="541"/>
      <c r="D417" s="14"/>
      <c r="E417" s="14"/>
      <c r="F417" s="289"/>
      <c r="G417" s="289"/>
      <c r="H417" s="611"/>
      <c r="I417" s="545"/>
      <c r="J417" s="545"/>
      <c r="K417" s="545"/>
      <c r="L417" s="545"/>
      <c r="M417" s="612"/>
      <c r="N417" s="982">
        <f>Model!N$429</f>
        <v>20193.421543712564</v>
      </c>
      <c r="O417" s="477"/>
      <c r="Q417" s="966">
        <f>Model!N511</f>
        <v>20193.421543712564</v>
      </c>
      <c r="R417" s="967">
        <f>N417</f>
        <v>20193.421543712564</v>
      </c>
      <c r="S417" s="968">
        <f>IF(ISBLANK(Model!N511),0,IF(Q417=R417,1,0))</f>
        <v>1</v>
      </c>
    </row>
    <row r="418" s="23" customFormat="1" ht="15" customHeight="1" outlineLevel="1"/>
    <row r="419" s="23" customFormat="1" ht="15" customHeight="1" outlineLevel="1">
      <c r="B419" s="61" t="s">
        <v>306</v>
      </c>
      <c r="E419" s="14"/>
      <c r="F419" s="1"/>
      <c r="G419" s="1"/>
      <c r="H419" s="1"/>
      <c r="I419" s="1"/>
      <c r="J419" s="1"/>
      <c r="K419" s="1"/>
      <c r="L419" s="1"/>
      <c r="M419" s="1"/>
      <c r="N419" s="1"/>
      <c r="O419" s="1"/>
      <c r="Q419" s="39" t="s">
        <v>6</v>
      </c>
      <c r="R419" s="40" t="s">
        <v>7</v>
      </c>
      <c r="S419" s="41" t="s">
        <v>8</v>
      </c>
    </row>
    <row r="420" s="23" customFormat="1" ht="15" customHeight="1" outlineLevel="1">
      <c r="B420" s="284" t="s">
        <v>302</v>
      </c>
      <c r="D420" s="595"/>
      <c r="E420" s="14"/>
      <c r="F420" s="614" t="s">
        <v>325</v>
      </c>
      <c r="G420" s="289"/>
      <c r="H420" s="410">
        <v>0</v>
      </c>
      <c r="I420" s="886">
        <f>Model!I510</f>
        <v>9819.6608674657527</v>
      </c>
      <c r="J420" s="886">
        <f>Model!J510</f>
        <v>11491.026436417727</v>
      </c>
      <c r="K420" s="886">
        <f>Model!K510</f>
        <v>7948.0250767165098</v>
      </c>
      <c r="L420" s="886">
        <f>Model!L510</f>
        <v>11917.101046292346</v>
      </c>
      <c r="M420" s="886">
        <f>Model!M510</f>
        <v>11775.828791650814</v>
      </c>
      <c r="N420" s="886">
        <f>Model!N510</f>
        <v>10768.459403336401</v>
      </c>
      <c r="O420" s="438"/>
      <c r="Q420" s="51">
        <f>SUM(Model!I514:N514)</f>
        <v>63720.101621879556</v>
      </c>
      <c r="R420" s="52">
        <f>SUM(I420:N420)</f>
        <v>63720.101621879556</v>
      </c>
      <c r="S420" s="53">
        <f>IF(ISBLANK(Model!I514),0,IF(Q420=R420,1,0))</f>
        <v>1</v>
      </c>
    </row>
    <row r="421" s="23" customFormat="1" ht="15" customHeight="1" outlineLevel="1">
      <c r="B421" s="284" t="s">
        <v>326</v>
      </c>
      <c r="D421" s="14"/>
      <c r="E421" s="14"/>
      <c r="F421" s="615" t="s">
        <v>327</v>
      </c>
      <c r="G421" s="289"/>
      <c r="H421" s="412">
        <v>0</v>
      </c>
      <c r="I421" s="412">
        <v>0</v>
      </c>
      <c r="J421" s="412">
        <v>0</v>
      </c>
      <c r="K421" s="412">
        <v>0</v>
      </c>
      <c r="L421" s="412">
        <v>0</v>
      </c>
      <c r="M421" s="412">
        <v>0</v>
      </c>
      <c r="N421" s="888">
        <f>(Model!N511*C413)/(1+C414)^Model!F516</f>
        <v>135029.67229503315</v>
      </c>
      <c r="O421" s="438"/>
      <c r="Q421" s="51">
        <f>Model!N515</f>
        <v>135029.67229503315</v>
      </c>
      <c r="R421" s="52">
        <f>N421</f>
        <v>135029.67229503315</v>
      </c>
      <c r="S421" s="53">
        <f>IF(ISBLANK(Model!N515),0,IF(Q421=R421,1,0))</f>
        <v>1</v>
      </c>
      <c r="U421" s="25" t="s">
        <v>6</v>
      </c>
      <c r="V421" s="26" t="s">
        <v>7</v>
      </c>
      <c r="W421" s="27" t="s">
        <v>8</v>
      </c>
    </row>
    <row r="422" s="23" customFormat="1" ht="15" customHeight="1" outlineLevel="1">
      <c r="B422" s="284" t="s">
        <v>308</v>
      </c>
      <c r="D422" s="569"/>
      <c r="E422" s="569"/>
      <c r="F422" s="983">
        <f>YEARFRAC(Model!N508,Model!N507)</f>
        <v>0.5</v>
      </c>
      <c r="G422" s="289"/>
      <c r="H422" s="424">
        <f t="shared" ref="H422:N436" si="412">SUM(H420:H421)</f>
        <v>0</v>
      </c>
      <c r="I422" s="886">
        <f>SUM(Model!I514:I515)</f>
        <v>9819.6608674657527</v>
      </c>
      <c r="J422" s="886">
        <f>SUM(Model!J514:J515)</f>
        <v>11491.026436417727</v>
      </c>
      <c r="K422" s="886">
        <f>SUM(Model!K514:K515)</f>
        <v>7948.0250767165098</v>
      </c>
      <c r="L422" s="886">
        <f>SUM(Model!L514:L515)</f>
        <v>11917.101046292346</v>
      </c>
      <c r="M422" s="886">
        <f>SUM(Model!M514:M515)</f>
        <v>11775.828791650814</v>
      </c>
      <c r="N422" s="886">
        <f>SUM(Model!N514:N515)</f>
        <v>145798.13169836954</v>
      </c>
      <c r="O422" s="438"/>
      <c r="Q422" s="70">
        <f>SUM(Model!I516:N516)</f>
        <v>198749.7739169127</v>
      </c>
      <c r="R422" s="71">
        <f>SUM(I422:N422)</f>
        <v>198749.7739169127</v>
      </c>
      <c r="S422" s="72">
        <f>IF(ISBLANK(Model!I516),0,IF(Q422=R422,1,0))</f>
        <v>1</v>
      </c>
      <c r="U422" s="984">
        <f>Model!F516</f>
        <v>0.5</v>
      </c>
      <c r="V422" s="985">
        <f>F422</f>
        <v>0.5</v>
      </c>
      <c r="W422" s="33">
        <f>IF(ISBLANK(Model!F516),0,IF(U422=V422,1,0))</f>
        <v>1</v>
      </c>
    </row>
    <row r="423" s="23" customFormat="1" ht="15" customHeight="1" outlineLevel="1">
      <c r="B423" s="61"/>
      <c r="D423" s="14"/>
      <c r="E423" s="14"/>
      <c r="F423" s="570"/>
      <c r="G423" s="570"/>
      <c r="H423" s="570"/>
      <c r="I423" s="570"/>
      <c r="J423" s="570"/>
      <c r="K423" s="570"/>
      <c r="L423" s="570"/>
      <c r="M423" s="1"/>
      <c r="N423" s="1"/>
      <c r="O423" s="438"/>
    </row>
    <row r="424" s="23" customFormat="1" ht="15" customHeight="1" outlineLevel="1">
      <c r="B424" s="61" t="s">
        <v>309</v>
      </c>
      <c r="D424" s="14"/>
      <c r="E424" s="14"/>
      <c r="F424" s="570"/>
      <c r="G424" s="570"/>
      <c r="H424" s="410"/>
      <c r="I424" s="597"/>
      <c r="J424" s="597"/>
      <c r="K424" s="597"/>
      <c r="L424" s="597"/>
      <c r="M424" s="597"/>
      <c r="N424" s="597"/>
      <c r="O424" s="438"/>
    </row>
    <row r="425" s="23" customFormat="1" ht="15" customHeight="1" outlineLevel="1">
      <c r="B425" s="284" t="s">
        <v>310</v>
      </c>
      <c r="D425" s="14"/>
      <c r="E425" s="14"/>
      <c r="F425" s="570"/>
      <c r="G425" s="570"/>
      <c r="H425" s="410">
        <v>0</v>
      </c>
      <c r="I425" s="597">
        <f t="shared" ref="I425:N425" si="413">YEARFRAC(I413,H413)</f>
        <v>0.75</v>
      </c>
      <c r="J425" s="597">
        <f t="shared" si="413"/>
        <v>1</v>
      </c>
      <c r="K425" s="597">
        <f t="shared" si="413"/>
        <v>1</v>
      </c>
      <c r="L425" s="597">
        <f t="shared" si="413"/>
        <v>1</v>
      </c>
      <c r="M425" s="597">
        <f t="shared" si="413"/>
        <v>1</v>
      </c>
      <c r="N425" s="597">
        <f t="shared" si="413"/>
        <v>1</v>
      </c>
      <c r="O425" s="438"/>
    </row>
    <row r="426" s="23" customFormat="1" ht="6" customHeight="1" outlineLevel="1">
      <c r="B426" s="284"/>
      <c r="D426" s="14"/>
      <c r="E426" s="14"/>
      <c r="F426" s="570"/>
      <c r="G426" s="570"/>
      <c r="H426" s="410"/>
      <c r="I426" s="597"/>
      <c r="J426" s="597"/>
      <c r="K426" s="597"/>
      <c r="L426" s="597"/>
      <c r="M426" s="597"/>
      <c r="N426" s="597"/>
      <c r="O426" s="438"/>
    </row>
    <row r="427" s="23" customFormat="1" ht="15" customHeight="1" outlineLevel="1">
      <c r="B427" s="284" t="s">
        <v>302</v>
      </c>
      <c r="D427" s="14"/>
      <c r="E427" s="14"/>
      <c r="F427" s="570"/>
      <c r="G427" s="570"/>
      <c r="H427" s="410">
        <v>0</v>
      </c>
      <c r="I427" s="424">
        <f t="shared" ref="I427:N428" si="414">I420*I$425</f>
        <v>7364.7456505993141</v>
      </c>
      <c r="J427" s="424">
        <f t="shared" si="414"/>
        <v>11491.026436417727</v>
      </c>
      <c r="K427" s="424">
        <f t="shared" si="414"/>
        <v>7948.0250767165098</v>
      </c>
      <c r="L427" s="424">
        <f t="shared" si="414"/>
        <v>11917.101046292346</v>
      </c>
      <c r="M427" s="424">
        <f t="shared" si="414"/>
        <v>11775.828791650814</v>
      </c>
      <c r="N427" s="424">
        <f t="shared" si="414"/>
        <v>10768.459403336401</v>
      </c>
      <c r="O427" s="438"/>
    </row>
    <row r="428" s="23" customFormat="1" ht="15" customHeight="1" outlineLevel="1">
      <c r="B428" s="284" t="s">
        <v>307</v>
      </c>
      <c r="D428" s="14"/>
      <c r="E428" s="14"/>
      <c r="F428" s="570"/>
      <c r="G428" s="570"/>
      <c r="H428" s="412">
        <v>0</v>
      </c>
      <c r="I428" s="939">
        <f t="shared" si="414"/>
        <v>0</v>
      </c>
      <c r="J428" s="939">
        <f t="shared" si="414"/>
        <v>0</v>
      </c>
      <c r="K428" s="939">
        <f t="shared" si="414"/>
        <v>0</v>
      </c>
      <c r="L428" s="939">
        <f t="shared" si="414"/>
        <v>0</v>
      </c>
      <c r="M428" s="939">
        <f t="shared" si="414"/>
        <v>0</v>
      </c>
      <c r="N428" s="939">
        <f t="shared" si="414"/>
        <v>135029.67229503315</v>
      </c>
      <c r="O428" s="438"/>
    </row>
    <row r="429" s="23" customFormat="1" ht="15" customHeight="1" outlineLevel="1">
      <c r="B429" s="284" t="s">
        <v>308</v>
      </c>
      <c r="D429" s="14"/>
      <c r="E429" s="14"/>
      <c r="F429" s="570"/>
      <c r="G429" s="570"/>
      <c r="H429" s="424">
        <f t="shared" si="412"/>
        <v>0</v>
      </c>
      <c r="I429" s="424">
        <f t="shared" si="412"/>
        <v>7364.7456505993141</v>
      </c>
      <c r="J429" s="424">
        <f t="shared" si="412"/>
        <v>11491.026436417727</v>
      </c>
      <c r="K429" s="424">
        <f t="shared" si="412"/>
        <v>7948.0250767165098</v>
      </c>
      <c r="L429" s="424">
        <f t="shared" si="412"/>
        <v>11917.101046292346</v>
      </c>
      <c r="M429" s="424">
        <f t="shared" si="412"/>
        <v>11775.828791650814</v>
      </c>
      <c r="N429" s="424">
        <f t="shared" si="412"/>
        <v>145798.13169836954</v>
      </c>
      <c r="O429" s="438"/>
    </row>
    <row r="430" s="23" customFormat="1" ht="15" customHeight="1" outlineLevel="1">
      <c r="B430" s="284"/>
      <c r="D430" s="14"/>
      <c r="E430" s="14"/>
      <c r="F430" s="570"/>
      <c r="G430" s="570"/>
      <c r="H430" s="410"/>
      <c r="I430" s="597"/>
      <c r="J430" s="597"/>
      <c r="K430" s="597"/>
      <c r="L430" s="597"/>
      <c r="M430" s="597"/>
      <c r="N430" s="597"/>
      <c r="O430" s="438"/>
    </row>
    <row r="431" s="23" customFormat="1" ht="15" customHeight="1" outlineLevel="1">
      <c r="B431" s="61" t="s">
        <v>311</v>
      </c>
      <c r="D431" s="14"/>
      <c r="E431" s="14"/>
      <c r="F431" s="570"/>
      <c r="G431" s="570"/>
      <c r="H431" s="410"/>
      <c r="I431" s="597"/>
      <c r="J431" s="597"/>
      <c r="K431" s="597"/>
      <c r="L431" s="597"/>
      <c r="M431" s="597"/>
      <c r="N431" s="597"/>
      <c r="O431" s="438"/>
    </row>
    <row r="432" s="23" customFormat="1" ht="15" customHeight="1" outlineLevel="1">
      <c r="B432" s="284" t="s">
        <v>312</v>
      </c>
      <c r="D432" s="14"/>
      <c r="E432" s="14"/>
      <c r="F432" s="570"/>
      <c r="G432" s="570"/>
      <c r="H432" s="278">
        <v>0</v>
      </c>
      <c r="I432" s="279">
        <f t="shared" ref="I432:N432" si="415">H432+YEARFRAC(H414,I414)</f>
        <v>0.25</v>
      </c>
      <c r="J432" s="279">
        <f t="shared" si="415"/>
        <v>1.25</v>
      </c>
      <c r="K432" s="279">
        <f t="shared" si="415"/>
        <v>2.25</v>
      </c>
      <c r="L432" s="279">
        <f t="shared" si="415"/>
        <v>3.25</v>
      </c>
      <c r="M432" s="279">
        <f t="shared" si="415"/>
        <v>4.25</v>
      </c>
      <c r="N432" s="279">
        <f t="shared" si="415"/>
        <v>5.25</v>
      </c>
      <c r="O432" s="438"/>
    </row>
    <row r="433" s="23" customFormat="1" ht="6" customHeight="1" outlineLevel="1">
      <c r="B433" s="284"/>
      <c r="D433" s="14"/>
      <c r="E433" s="14"/>
      <c r="F433" s="570"/>
      <c r="G433" s="570"/>
      <c r="H433" s="278"/>
      <c r="I433" s="279"/>
      <c r="J433" s="279"/>
      <c r="K433" s="279"/>
      <c r="L433" s="279"/>
      <c r="M433" s="279"/>
      <c r="N433" s="279"/>
      <c r="O433" s="438"/>
    </row>
    <row r="434" s="23" customFormat="1" ht="15" customHeight="1" outlineLevel="1">
      <c r="B434" s="284" t="s">
        <v>302</v>
      </c>
      <c r="D434" s="14"/>
      <c r="E434" s="14"/>
      <c r="F434" s="570"/>
      <c r="G434" s="570"/>
      <c r="H434" s="400">
        <v>0</v>
      </c>
      <c r="I434" s="30">
        <f t="shared" ref="I434:N435" si="416">I427/(1+$C$414)^I$432</f>
        <v>7198.108418375462</v>
      </c>
      <c r="J434" s="30">
        <f t="shared" si="416"/>
        <v>10248.539502620039</v>
      </c>
      <c r="K434" s="30">
        <f t="shared" si="416"/>
        <v>6468.5197547612315</v>
      </c>
      <c r="L434" s="30">
        <f t="shared" si="416"/>
        <v>8850.3169985200966</v>
      </c>
      <c r="M434" s="30">
        <f t="shared" si="416"/>
        <v>7980.3550176247445</v>
      </c>
      <c r="N434" s="30">
        <f t="shared" si="416"/>
        <v>6659.2731443393686</v>
      </c>
      <c r="O434" s="438"/>
    </row>
    <row r="435" s="23" customFormat="1" ht="15" customHeight="1" outlineLevel="1">
      <c r="B435" s="284" t="s">
        <v>307</v>
      </c>
      <c r="D435" s="14"/>
      <c r="E435" s="14"/>
      <c r="F435" s="570"/>
      <c r="G435" s="570"/>
      <c r="H435" s="612">
        <v>0</v>
      </c>
      <c r="I435" s="545">
        <f t="shared" si="416"/>
        <v>0</v>
      </c>
      <c r="J435" s="545">
        <f t="shared" si="416"/>
        <v>0</v>
      </c>
      <c r="K435" s="545">
        <f t="shared" si="416"/>
        <v>0</v>
      </c>
      <c r="L435" s="545">
        <f t="shared" si="416"/>
        <v>0</v>
      </c>
      <c r="M435" s="545">
        <f t="shared" si="416"/>
        <v>0</v>
      </c>
      <c r="N435" s="545">
        <f t="shared" si="416"/>
        <v>83503.074741096221</v>
      </c>
      <c r="O435" s="438"/>
    </row>
    <row r="436" s="23" customFormat="1" ht="15" customHeight="1" outlineLevel="1">
      <c r="B436" s="284" t="s">
        <v>308</v>
      </c>
      <c r="D436" s="14"/>
      <c r="E436" s="14"/>
      <c r="F436" s="570"/>
      <c r="G436" s="570"/>
      <c r="H436" s="424">
        <f t="shared" si="412"/>
        <v>0</v>
      </c>
      <c r="I436" s="424">
        <f t="shared" si="412"/>
        <v>7198.108418375462</v>
      </c>
      <c r="J436" s="424">
        <f t="shared" si="412"/>
        <v>10248.539502620039</v>
      </c>
      <c r="K436" s="424">
        <f t="shared" si="412"/>
        <v>6468.5197547612315</v>
      </c>
      <c r="L436" s="424">
        <f t="shared" si="412"/>
        <v>8850.3169985200966</v>
      </c>
      <c r="M436" s="424">
        <f t="shared" si="412"/>
        <v>7980.3550176247445</v>
      </c>
      <c r="N436" s="424">
        <f t="shared" si="412"/>
        <v>90162.347885435593</v>
      </c>
      <c r="O436" s="438"/>
    </row>
    <row r="437" s="23" customFormat="1" ht="15" customHeight="1" outlineLevel="1">
      <c r="B437" s="284"/>
      <c r="D437" s="14"/>
      <c r="E437" s="14"/>
      <c r="F437" s="570"/>
      <c r="G437" s="570"/>
      <c r="H437" s="410"/>
      <c r="I437" s="597"/>
      <c r="J437" s="597"/>
      <c r="K437" s="597"/>
      <c r="L437" s="597"/>
      <c r="M437" s="597"/>
      <c r="N437" s="597"/>
      <c r="O437" s="438"/>
    </row>
    <row r="438" s="23" customFormat="1" ht="15" customHeight="1" outlineLevel="1">
      <c r="B438" s="284"/>
      <c r="D438" s="569"/>
      <c r="E438" s="569"/>
      <c r="F438" s="289"/>
      <c r="G438" s="289"/>
      <c r="H438" s="424"/>
      <c r="I438" s="424"/>
      <c r="J438" s="424"/>
      <c r="K438" s="424"/>
      <c r="L438" s="424"/>
      <c r="M438" s="424"/>
      <c r="N438" s="424"/>
      <c r="O438" s="438"/>
    </row>
    <row r="439" s="23" customFormat="1" ht="15" customHeight="1" outlineLevel="1">
      <c r="B439" s="61"/>
      <c r="D439" s="14"/>
      <c r="E439" s="14"/>
      <c r="F439" s="61" t="s">
        <v>313</v>
      </c>
      <c r="G439" s="37"/>
      <c r="H439" s="441"/>
      <c r="I439" s="289"/>
      <c r="J439" s="61" t="s">
        <v>313</v>
      </c>
      <c r="K439" s="599"/>
      <c r="L439" s="4"/>
      <c r="M439" s="4"/>
      <c r="N439" s="289"/>
      <c r="O439" s="438"/>
      <c r="Q439" s="39" t="s">
        <v>6</v>
      </c>
      <c r="R439" s="40" t="s">
        <v>7</v>
      </c>
      <c r="S439" s="41" t="s">
        <v>8</v>
      </c>
    </row>
    <row r="440" s="23" customFormat="1" ht="15" customHeight="1" outlineLevel="1">
      <c r="B440" s="284"/>
      <c r="D440" s="14"/>
      <c r="E440" s="14"/>
      <c r="F440" s="600" t="s">
        <v>314</v>
      </c>
      <c r="G440" s="486"/>
      <c r="H440" s="903">
        <f>SUM(Model!I530:N530)</f>
        <v>130908.18757733717</v>
      </c>
      <c r="I440" s="30"/>
      <c r="J440" s="600" t="s">
        <v>315</v>
      </c>
      <c r="K440" s="601"/>
      <c r="L440" s="986">
        <f t="shared" ref="L440:L442" si="417">M440/$M$442</f>
        <v>0.36212488854629682</v>
      </c>
      <c r="M440" s="838">
        <f t="shared" ref="M440:M441" si="418">SUM(I434:N434)</f>
        <v>47405.112836240944</v>
      </c>
      <c r="N440" s="30"/>
      <c r="O440" s="438"/>
      <c r="Q440" s="51">
        <f>Model!H534</f>
        <v>130908.18757733717</v>
      </c>
      <c r="R440" s="52">
        <f>H440</f>
        <v>130908.18757733717</v>
      </c>
      <c r="S440" s="53">
        <f>IF(ISBLANK(Model!H534),0,IF(Q440=R440,1,0))</f>
        <v>1</v>
      </c>
    </row>
    <row r="441" ht="15" customHeight="1" outlineLevel="1">
      <c r="B441" s="284"/>
      <c r="D441" s="569"/>
      <c r="E441" s="569"/>
      <c r="F441" s="603" t="s">
        <v>328</v>
      </c>
      <c r="G441" s="134"/>
      <c r="H441" s="907">
        <f>XNPV(C414,Model!H523:N523,Model!H508:N508)</f>
        <v>130862.76413287796</v>
      </c>
      <c r="I441" s="30"/>
      <c r="J441" s="604" t="s">
        <v>317</v>
      </c>
      <c r="K441" s="4"/>
      <c r="L441" s="987">
        <f t="shared" si="417"/>
        <v>0.63787511145370313</v>
      </c>
      <c r="M441" s="841">
        <f t="shared" si="418"/>
        <v>83503.074741096221</v>
      </c>
      <c r="N441" s="30"/>
      <c r="Q441" s="70">
        <f>Model!H535</f>
        <v>130862.76413287796</v>
      </c>
      <c r="R441" s="71">
        <f>IFERROR(H441,0)</f>
        <v>130862.76413287796</v>
      </c>
      <c r="S441" s="72">
        <f>IF(ISBLANK(Model!H535),0,IF(Q441=R441,1,0))</f>
        <v>1</v>
      </c>
    </row>
    <row r="442" ht="15" customHeight="1" outlineLevel="1">
      <c r="J442" s="603" t="s">
        <v>318</v>
      </c>
      <c r="K442" s="282"/>
      <c r="L442" s="987">
        <f t="shared" si="417"/>
        <v>1</v>
      </c>
      <c r="M442" s="841">
        <f>SUM(M440:M441)</f>
        <v>130908.18757733717</v>
      </c>
    </row>
    <row r="445" ht="15" customHeight="1" outlineLevel="1">
      <c r="F445" s="61" t="s">
        <v>319</v>
      </c>
      <c r="G445" s="289"/>
      <c r="J445" s="61" t="s">
        <v>320</v>
      </c>
      <c r="K445" s="289"/>
    </row>
    <row r="446" ht="15" customHeight="1" outlineLevel="1">
      <c r="F446" s="600" t="s">
        <v>318</v>
      </c>
      <c r="G446" s="619"/>
      <c r="H446" s="838">
        <f>H441</f>
        <v>130862.76413287796</v>
      </c>
      <c r="J446" s="600" t="s">
        <v>25</v>
      </c>
      <c r="K446" s="619"/>
      <c r="L446" s="619"/>
      <c r="M446" s="838">
        <f>H448</f>
        <v>112220.76413287796</v>
      </c>
    </row>
    <row r="447" ht="15" customHeight="1" outlineLevel="1">
      <c r="F447" s="604" t="s">
        <v>321</v>
      </c>
      <c r="H447" s="841">
        <f>-Inputs!L102</f>
        <v>-18642</v>
      </c>
      <c r="J447" s="604" t="s">
        <v>18</v>
      </c>
      <c r="L447" s="605" t="s">
        <v>19</v>
      </c>
      <c r="M447" s="841">
        <f>Inputs!F113</f>
        <v>34200</v>
      </c>
    </row>
    <row r="448" ht="15" customHeight="1" outlineLevel="1">
      <c r="F448" s="603" t="s">
        <v>25</v>
      </c>
      <c r="G448" s="134"/>
      <c r="H448" s="841">
        <f>SUM(H446:H447)</f>
        <v>112220.76413287796</v>
      </c>
      <c r="J448" s="603" t="s">
        <v>25</v>
      </c>
      <c r="K448" s="134"/>
      <c r="L448" s="620" t="s">
        <v>322</v>
      </c>
      <c r="M448" s="988">
        <f>M446/M447</f>
        <v>3.2813088927742093</v>
      </c>
      <c r="S448" s="870" t="str">
        <f>IF(SUM(S412:S441)+SUM(W421:W422)=9,"COMPLETE","")</f>
        <v>COMPLETE</v>
      </c>
    </row>
    <row r="449" ht="15" customHeight="1" outlineLevel="1">
      <c r="C449" s="289"/>
    </row>
    <row r="450" ht="15" customHeight="1" outlineLevel="1">
      <c r="B450" s="23"/>
      <c r="C450" s="12"/>
      <c r="D450" s="14"/>
      <c r="E450" s="14"/>
      <c r="F450" s="14"/>
      <c r="G450" s="14"/>
      <c r="H450" s="14"/>
      <c r="I450" s="16"/>
      <c r="J450" s="16"/>
      <c r="K450" s="16"/>
      <c r="L450" s="16"/>
      <c r="M450" s="132" t="s">
        <v>329</v>
      </c>
      <c r="N450" s="23"/>
      <c r="O450" s="59"/>
    </row>
    <row r="451" ht="15" customHeight="1" outlineLevel="1">
      <c r="B451" s="23"/>
      <c r="C451" s="12"/>
      <c r="D451" s="14"/>
      <c r="E451" s="14"/>
      <c r="F451" s="14"/>
      <c r="G451" s="14"/>
      <c r="H451" s="14"/>
      <c r="I451" s="16"/>
      <c r="J451" s="16"/>
      <c r="K451" s="16"/>
      <c r="L451" s="16"/>
      <c r="M451" s="535" t="s">
        <v>330</v>
      </c>
      <c r="N451" s="23"/>
      <c r="O451" s="59"/>
    </row>
    <row r="452" s="23" customFormat="1" ht="15" customHeight="1" outlineLevel="1">
      <c r="C452" s="12"/>
      <c r="D452" s="14"/>
      <c r="E452" s="14"/>
      <c r="F452" s="14"/>
      <c r="G452" s="14"/>
      <c r="H452" s="14"/>
      <c r="I452" s="16"/>
      <c r="J452" s="16"/>
      <c r="K452" s="16"/>
      <c r="L452" s="16"/>
      <c r="O452" s="59"/>
    </row>
    <row r="453" s="23" customFormat="1" ht="15" customHeight="1" outlineLevel="1">
      <c r="B453" s="500"/>
      <c r="C453" s="281"/>
      <c r="D453" s="501"/>
      <c r="E453" s="501"/>
      <c r="F453" s="501"/>
      <c r="G453" s="501"/>
      <c r="H453" s="501"/>
      <c r="I453" s="502"/>
      <c r="J453" s="502"/>
      <c r="K453" s="502"/>
      <c r="L453" s="502"/>
      <c r="M453" s="502"/>
      <c r="N453" s="502" t="s">
        <v>0</v>
      </c>
    </row>
  </sheetData>
  <printOptions headings="0" gridLines="0" horizontalCentered="1"/>
  <pageMargins left="0.11811023622047245" right="0.11811023622047245" top="0.11811023622047245" bottom="0.11811023622047245" header="0.11811023622047245" footer="0.11811023622047245"/>
  <pageSetup paperSize="9" scale="88" fitToWidth="1" fitToHeight="1" pageOrder="downThenOver" orientation="landscape" usePrinterDefaults="1" blackAndWhite="0" draft="0" cellComments="none" useFirstPageNumber="0" errors="displayed" horizontalDpi="600" verticalDpi="600" copies="1"/>
  <headerFooter>
    <oddFooter>&amp;L&amp;"Open Sans,Bold"&amp;10&amp;K002060DCF Valuation Modeling&amp;C&amp;"Open Sans,Bold"&amp;10&amp;K002060Page &amp;P of &amp;N&amp;R&amp;G</oddFooter>
  </headerFooter>
  <drawing r:id="rId1"/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9F06E7D9-53AE-4D3F-B248-8C31BDE77E1F}">
            <xm:f>$D$246=1</xm:f>
            <x14:dxf>
              <font>
                <b/>
                <i val="0"/>
                <color theme="0"/>
              </font>
              <fill>
                <patternFill patternType="solid">
                  <fgColor rgb="FF947131"/>
                  <bgColor rgb="FF947131"/>
                </patternFill>
              </fill>
            </x14:dxf>
          </x14:cfRule>
          <xm:sqref>D246</xm:sqref>
        </x14:conditionalFormatting>
        <x14:conditionalFormatting xmlns:xm="http://schemas.microsoft.com/office/excel/2006/main">
          <x14:cfRule type="expression" priority="2" id="{087750E6-5EFC-45C6-8D2F-4224DF5D10C7}">
            <xm:f>$D$288=1</xm:f>
            <x14:dxf>
              <font>
                <b/>
                <i val="0"/>
                <color theme="0"/>
              </font>
              <fill>
                <patternFill patternType="solid">
                  <fgColor rgb="FF947131"/>
                  <bgColor rgb="FF947131"/>
                </patternFill>
              </fill>
            </x14:dxf>
          </x14:cfRule>
          <xm:sqref>D288</xm:sqref>
        </x14:conditionalFormatting>
        <x14:conditionalFormatting xmlns:xm="http://schemas.microsoft.com/office/excel/2006/main">
          <x14:cfRule type="expression" priority="4" id="{8B1593FA-81F8-44E8-A8B5-44AED9772607}">
            <xm:f>I$43=1</xm:f>
            <x14:dxf>
              <font>
                <b/>
                <i val="0"/>
                <color theme="0"/>
              </font>
              <fill>
                <patternFill patternType="solid">
                  <fgColor rgb="FF947131"/>
                  <bgColor rgb="FF947131"/>
                </patternFill>
              </fill>
            </x14:dxf>
          </x14:cfRule>
          <xm:sqref>I43:N43</xm:sqref>
        </x14:conditionalFormatting>
        <x14:conditionalFormatting xmlns:xm="http://schemas.microsoft.com/office/excel/2006/main">
          <x14:cfRule type="expression" priority="1" id="{A24A374F-0EDE-49C3-B8B2-1865B0B354C5}">
            <xm:f>I353=1</xm:f>
            <x14:dxf>
              <font>
                <b/>
                <i val="0"/>
                <color theme="0"/>
              </font>
              <fill>
                <patternFill patternType="solid">
                  <fgColor rgb="FF947131"/>
                  <bgColor rgb="FF947131"/>
                </patternFill>
              </fill>
            </x14:dxf>
          </x14:cfRule>
          <xm:sqref>I353:N353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dc:language/>
  <cp:revision>2</cp:revision>
  <dcterms:created xsi:type="dcterms:W3CDTF">1899-12-30T05:00:00Z</dcterms:created>
  <dcterms:modified xsi:type="dcterms:W3CDTF">2026-06-16T07:21:21Z</dcterms:modified>
  <cp:category/>
  <cp:contentStatus/>
  <cp:version/>
</cp:coreProperties>
</file>